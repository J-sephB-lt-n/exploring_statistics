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olton\Documents\blogs\"/>
    </mc:Choice>
  </mc:AlternateContent>
  <xr:revisionPtr revIDLastSave="0" documentId="13_ncr:1_{07931146-CC88-4DCD-815D-1F5E7DEB81BE}" xr6:coauthVersionLast="47" xr6:coauthVersionMax="47" xr10:uidLastSave="{00000000-0000-0000-0000-000000000000}"/>
  <bookViews>
    <workbookView xWindow="-96" yWindow="-96" windowWidth="23232" windowHeight="12552" xr2:uid="{04DC38A0-78AA-4767-8F97-79BCAE46B19A}"/>
  </bookViews>
  <sheets>
    <sheet name="timeline" sheetId="1" r:id="rId1"/>
    <sheet name="plants" sheetId="9" r:id="rId2"/>
    <sheet name="adult_list" sheetId="5" r:id="rId3"/>
    <sheet name="confirmed_resource_list" sheetId="4" r:id="rId4"/>
    <sheet name="potential_resource_list" sheetId="2" r:id="rId5"/>
    <sheet name="xhosa_vocab_list" sheetId="6" r:id="rId6"/>
    <sheet name="Sheet4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6" i="1" l="1"/>
  <c r="F7" i="1"/>
  <c r="F5" i="1"/>
  <c r="F23" i="1"/>
  <c r="F25" i="1"/>
  <c r="F16" i="1"/>
  <c r="F24" i="1"/>
  <c r="G77" i="6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I3" i="6" l="1"/>
  <c r="I4" i="6"/>
  <c r="I5" i="6"/>
  <c r="I6" i="6"/>
  <c r="I7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8" i="6"/>
  <c r="I30" i="6"/>
  <c r="I31" i="6"/>
  <c r="I32" i="6"/>
  <c r="I33" i="6"/>
  <c r="I35" i="6"/>
  <c r="I36" i="6"/>
  <c r="I38" i="6"/>
  <c r="I40" i="6"/>
  <c r="I41" i="6"/>
  <c r="I42" i="6"/>
  <c r="I43" i="6"/>
  <c r="I44" i="6"/>
  <c r="I46" i="6"/>
  <c r="I47" i="6"/>
  <c r="I48" i="6"/>
  <c r="I50" i="6"/>
  <c r="I52" i="6"/>
  <c r="I53" i="6"/>
  <c r="I54" i="6"/>
  <c r="I55" i="6"/>
  <c r="I56" i="6"/>
  <c r="I57" i="6"/>
  <c r="I59" i="6"/>
  <c r="I60" i="6"/>
  <c r="I62" i="6"/>
  <c r="I63" i="6"/>
  <c r="I65" i="6"/>
  <c r="I66" i="6"/>
  <c r="I67" i="6"/>
  <c r="I68" i="6"/>
  <c r="I71" i="6"/>
  <c r="I72" i="6"/>
  <c r="I75" i="6"/>
  <c r="I78" i="6"/>
  <c r="I79" i="6"/>
  <c r="I80" i="6"/>
  <c r="I81" i="6"/>
  <c r="I82" i="6"/>
  <c r="I2" i="6"/>
  <c r="G74" i="6" l="1"/>
  <c r="G75" i="6" s="1"/>
  <c r="A39" i="6"/>
  <c r="I39" i="6" s="1"/>
  <c r="G34" i="6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A44" i="8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C8" i="8"/>
  <c r="A28" i="8"/>
  <c r="A18" i="8"/>
  <c r="G20" i="6"/>
  <c r="G21" i="6" s="1"/>
  <c r="G22" i="6" s="1"/>
  <c r="G23" i="6" s="1"/>
  <c r="G3" i="6" l="1"/>
  <c r="G4" i="6" s="1"/>
  <c r="G5" i="6" s="1"/>
  <c r="G6" i="6" s="1"/>
  <c r="G7" i="6" s="1"/>
  <c r="G8" i="6" s="1"/>
  <c r="G9" i="6" s="1"/>
  <c r="G10" i="6" s="1"/>
  <c r="G11" i="6" s="1"/>
  <c r="A8" i="6"/>
  <c r="I8" i="6" s="1"/>
  <c r="B1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E21" i="5" l="1"/>
  <c r="E23" i="5"/>
  <c r="C12" i="5"/>
  <c r="E12" i="5" s="1"/>
  <c r="E19" i="5"/>
  <c r="E20" i="5"/>
  <c r="E14" i="5"/>
  <c r="E15" i="5"/>
  <c r="E16" i="5"/>
  <c r="E22" i="5"/>
  <c r="E17" i="5"/>
  <c r="E18" i="5"/>
  <c r="C11" i="5"/>
  <c r="E11" i="5" s="1"/>
  <c r="E24" i="5"/>
  <c r="C10" i="5"/>
  <c r="E10" i="5" s="1"/>
  <c r="E13" i="5"/>
  <c r="C9" i="5"/>
  <c r="E9" i="5" s="1"/>
  <c r="C8" i="5"/>
  <c r="E8" i="5" s="1"/>
  <c r="D21" i="5"/>
  <c r="D17" i="5"/>
  <c r="C7" i="5"/>
  <c r="E7" i="5" s="1"/>
  <c r="A27" i="6"/>
  <c r="C6" i="5"/>
  <c r="E6" i="5" s="1"/>
  <c r="D20" i="5"/>
  <c r="C5" i="5"/>
  <c r="E5" i="5" s="1"/>
  <c r="C4" i="5"/>
  <c r="E4" i="5" s="1"/>
  <c r="A29" i="6" l="1"/>
  <c r="I27" i="6"/>
  <c r="A34" i="6" l="1"/>
  <c r="I29" i="6"/>
  <c r="A37" i="6" l="1"/>
  <c r="I34" i="6"/>
  <c r="A45" i="6" l="1"/>
  <c r="I37" i="6"/>
  <c r="A49" i="6" l="1"/>
  <c r="I45" i="6"/>
  <c r="A51" i="6" l="1"/>
  <c r="I49" i="6"/>
  <c r="A58" i="6" l="1"/>
  <c r="I51" i="6"/>
  <c r="A61" i="6" l="1"/>
  <c r="I58" i="6"/>
  <c r="A64" i="6" l="1"/>
  <c r="I61" i="6"/>
  <c r="A69" i="6" l="1"/>
  <c r="I64" i="6"/>
  <c r="A70" i="6" l="1"/>
  <c r="I69" i="6"/>
  <c r="A73" i="6" l="1"/>
  <c r="I70" i="6"/>
  <c r="A74" i="6" l="1"/>
  <c r="I73" i="6"/>
  <c r="A76" i="6" l="1"/>
  <c r="I74" i="6"/>
  <c r="A77" i="6" l="1"/>
  <c r="I76" i="6"/>
  <c r="A83" i="6" l="1"/>
  <c r="I77" i="6"/>
  <c r="I83" i="6" l="1"/>
  <c r="A85" i="6" l="1"/>
  <c r="I84" i="6"/>
  <c r="I85" i="6" l="1"/>
  <c r="A87" i="6" l="1"/>
  <c r="I86" i="6"/>
  <c r="I87" i="6" l="1"/>
  <c r="I88" i="6" l="1"/>
  <c r="I89" i="6" l="1"/>
  <c r="I90" i="6" l="1"/>
  <c r="A92" i="6" l="1"/>
  <c r="I91" i="6"/>
  <c r="I92" i="6" l="1"/>
  <c r="I93" i="6" l="1"/>
  <c r="A95" i="6" l="1"/>
  <c r="I94" i="6"/>
  <c r="A96" i="6" l="1"/>
  <c r="I95" i="6"/>
  <c r="A97" i="6" l="1"/>
  <c r="I96" i="6"/>
  <c r="A98" i="6" l="1"/>
  <c r="I97" i="6"/>
  <c r="A99" i="6" l="1"/>
  <c r="I98" i="6"/>
  <c r="A100" i="6" l="1"/>
  <c r="I99" i="6"/>
  <c r="A101" i="6" l="1"/>
  <c r="I100" i="6"/>
  <c r="A102" i="6" l="1"/>
  <c r="I101" i="6"/>
  <c r="A103" i="6" l="1"/>
  <c r="I102" i="6"/>
  <c r="A104" i="6" l="1"/>
  <c r="I103" i="6"/>
  <c r="A105" i="6" l="1"/>
  <c r="I104" i="6"/>
  <c r="A106" i="6" l="1"/>
  <c r="I105" i="6"/>
  <c r="A107" i="6" l="1"/>
  <c r="I106" i="6"/>
  <c r="A108" i="6" l="1"/>
  <c r="I107" i="6"/>
  <c r="A109" i="6" l="1"/>
  <c r="I108" i="6"/>
  <c r="A110" i="6" l="1"/>
  <c r="I109" i="6"/>
  <c r="A111" i="6" l="1"/>
  <c r="I110" i="6"/>
  <c r="A112" i="6" l="1"/>
  <c r="I111" i="6"/>
  <c r="A113" i="6" l="1"/>
  <c r="I112" i="6"/>
  <c r="A114" i="6" l="1"/>
  <c r="I113" i="6"/>
  <c r="A115" i="6" l="1"/>
  <c r="I114" i="6"/>
  <c r="A116" i="6" l="1"/>
  <c r="I115" i="6"/>
  <c r="A117" i="6" l="1"/>
  <c r="I116" i="6"/>
  <c r="A118" i="6" l="1"/>
  <c r="I117" i="6"/>
  <c r="A119" i="6" l="1"/>
  <c r="I118" i="6"/>
  <c r="A120" i="6" l="1"/>
  <c r="I119" i="6"/>
  <c r="A121" i="6" l="1"/>
  <c r="I120" i="6"/>
  <c r="A122" i="6" l="1"/>
  <c r="I121" i="6"/>
  <c r="A123" i="6" l="1"/>
  <c r="I122" i="6"/>
  <c r="A124" i="6" l="1"/>
  <c r="I123" i="6"/>
  <c r="A125" i="6" l="1"/>
  <c r="I124" i="6"/>
  <c r="A126" i="6" l="1"/>
  <c r="I125" i="6"/>
  <c r="A127" i="6" l="1"/>
  <c r="I126" i="6"/>
  <c r="A128" i="6" l="1"/>
  <c r="I127" i="6"/>
  <c r="A129" i="6" l="1"/>
  <c r="I128" i="6"/>
  <c r="A130" i="6" l="1"/>
  <c r="I129" i="6"/>
  <c r="A131" i="6" l="1"/>
  <c r="I130" i="6"/>
  <c r="A132" i="6" l="1"/>
  <c r="I131" i="6"/>
  <c r="A133" i="6" l="1"/>
  <c r="I132" i="6"/>
  <c r="A134" i="6" l="1"/>
  <c r="I133" i="6"/>
  <c r="A135" i="6" l="1"/>
  <c r="I134" i="6"/>
  <c r="A136" i="6" l="1"/>
  <c r="I135" i="6"/>
  <c r="A137" i="6" l="1"/>
  <c r="I136" i="6"/>
  <c r="A138" i="6" l="1"/>
  <c r="I137" i="6"/>
  <c r="A139" i="6" l="1"/>
  <c r="I138" i="6"/>
  <c r="A140" i="6" l="1"/>
  <c r="I139" i="6"/>
  <c r="A141" i="6" l="1"/>
  <c r="I140" i="6"/>
  <c r="A142" i="6" l="1"/>
  <c r="I141" i="6"/>
  <c r="A143" i="6" l="1"/>
  <c r="I142" i="6"/>
  <c r="A144" i="6" l="1"/>
  <c r="I143" i="6"/>
  <c r="A145" i="6" l="1"/>
  <c r="I144" i="6"/>
  <c r="A146" i="6" l="1"/>
  <c r="I145" i="6"/>
  <c r="A147" i="6" l="1"/>
  <c r="I146" i="6"/>
  <c r="A148" i="6" l="1"/>
  <c r="I147" i="6"/>
  <c r="A149" i="6" l="1"/>
  <c r="I148" i="6"/>
  <c r="A150" i="6" l="1"/>
  <c r="I149" i="6"/>
  <c r="A151" i="6" l="1"/>
  <c r="I150" i="6"/>
  <c r="A152" i="6" l="1"/>
  <c r="I151" i="6"/>
  <c r="A153" i="6" l="1"/>
  <c r="I152" i="6"/>
  <c r="A154" i="6" l="1"/>
  <c r="I153" i="6"/>
  <c r="A155" i="6" l="1"/>
  <c r="I154" i="6"/>
  <c r="A156" i="6" l="1"/>
  <c r="I155" i="6"/>
  <c r="A157" i="6" l="1"/>
  <c r="I156" i="6"/>
  <c r="A158" i="6" l="1"/>
  <c r="I157" i="6"/>
  <c r="A159" i="6" l="1"/>
  <c r="I158" i="6"/>
  <c r="A160" i="6" l="1"/>
  <c r="I159" i="6"/>
  <c r="A161" i="6" l="1"/>
  <c r="I160" i="6"/>
  <c r="A162" i="6" l="1"/>
  <c r="I161" i="6"/>
  <c r="A163" i="6" l="1"/>
  <c r="I162" i="6"/>
  <c r="A164" i="6" l="1"/>
  <c r="I163" i="6"/>
  <c r="A165" i="6" l="1"/>
  <c r="I164" i="6"/>
  <c r="A166" i="6" l="1"/>
  <c r="I165" i="6"/>
  <c r="A167" i="6" l="1"/>
  <c r="I166" i="6"/>
  <c r="A168" i="6" l="1"/>
  <c r="I167" i="6"/>
  <c r="A169" i="6" l="1"/>
  <c r="I168" i="6"/>
  <c r="A170" i="6" l="1"/>
  <c r="I169" i="6"/>
  <c r="A171" i="6" l="1"/>
  <c r="I170" i="6"/>
  <c r="A172" i="6" l="1"/>
  <c r="I171" i="6"/>
  <c r="A173" i="6" l="1"/>
  <c r="I172" i="6"/>
  <c r="A174" i="6" l="1"/>
  <c r="I173" i="6"/>
  <c r="A175" i="6" l="1"/>
  <c r="I174" i="6"/>
  <c r="A176" i="6" l="1"/>
  <c r="I175" i="6"/>
  <c r="A177" i="6" l="1"/>
  <c r="I176" i="6"/>
  <c r="A178" i="6" l="1"/>
  <c r="I177" i="6"/>
  <c r="A179" i="6" l="1"/>
  <c r="I178" i="6"/>
  <c r="A180" i="6" l="1"/>
  <c r="I179" i="6"/>
  <c r="A181" i="6" l="1"/>
  <c r="I180" i="6"/>
  <c r="A182" i="6" l="1"/>
  <c r="I181" i="6"/>
  <c r="A183" i="6" l="1"/>
  <c r="I182" i="6"/>
  <c r="A184" i="6" l="1"/>
  <c r="I183" i="6"/>
  <c r="A185" i="6" l="1"/>
  <c r="I184" i="6"/>
  <c r="A186" i="6" l="1"/>
  <c r="I185" i="6"/>
  <c r="A187" i="6" l="1"/>
  <c r="I186" i="6"/>
  <c r="A188" i="6" l="1"/>
  <c r="I187" i="6"/>
  <c r="A189" i="6" l="1"/>
  <c r="I188" i="6"/>
  <c r="A190" i="6" l="1"/>
  <c r="I189" i="6"/>
  <c r="A191" i="6" l="1"/>
  <c r="I190" i="6"/>
  <c r="A192" i="6" l="1"/>
  <c r="I191" i="6"/>
  <c r="A193" i="6" l="1"/>
  <c r="I192" i="6"/>
  <c r="A194" i="6" l="1"/>
  <c r="I193" i="6"/>
  <c r="A195" i="6" l="1"/>
  <c r="I194" i="6"/>
  <c r="A196" i="6" l="1"/>
  <c r="I195" i="6"/>
  <c r="A197" i="6" l="1"/>
  <c r="I196" i="6"/>
  <c r="A198" i="6" l="1"/>
  <c r="I197" i="6"/>
  <c r="A199" i="6" l="1"/>
  <c r="I198" i="6"/>
  <c r="A200" i="6" l="1"/>
  <c r="I199" i="6"/>
  <c r="A201" i="6" l="1"/>
  <c r="I200" i="6"/>
  <c r="A202" i="6" l="1"/>
  <c r="I201" i="6"/>
  <c r="A203" i="6" l="1"/>
  <c r="I202" i="6"/>
  <c r="A204" i="6" l="1"/>
  <c r="I203" i="6"/>
  <c r="A205" i="6" l="1"/>
  <c r="I204" i="6"/>
  <c r="A206" i="6" l="1"/>
  <c r="I205" i="6"/>
  <c r="A207" i="6" l="1"/>
  <c r="I206" i="6"/>
  <c r="A208" i="6" l="1"/>
  <c r="I207" i="6"/>
  <c r="A209" i="6" l="1"/>
  <c r="I208" i="6"/>
  <c r="A210" i="6" l="1"/>
  <c r="I209" i="6"/>
  <c r="A211" i="6" l="1"/>
  <c r="I210" i="6"/>
  <c r="A212" i="6" l="1"/>
  <c r="I211" i="6"/>
  <c r="A213" i="6" l="1"/>
  <c r="I212" i="6"/>
  <c r="A214" i="6" l="1"/>
  <c r="I213" i="6"/>
  <c r="A215" i="6" l="1"/>
  <c r="I214" i="6"/>
  <c r="A216" i="6" l="1"/>
  <c r="I215" i="6"/>
  <c r="A217" i="6" l="1"/>
  <c r="I216" i="6"/>
  <c r="A218" i="6" l="1"/>
  <c r="I217" i="6"/>
  <c r="A219" i="6" l="1"/>
  <c r="I218" i="6"/>
  <c r="A220" i="6" l="1"/>
  <c r="I219" i="6"/>
  <c r="A221" i="6" l="1"/>
  <c r="I220" i="6"/>
  <c r="A222" i="6" l="1"/>
  <c r="I221" i="6"/>
  <c r="A223" i="6" l="1"/>
  <c r="I222" i="6"/>
  <c r="A224" i="6" l="1"/>
  <c r="I223" i="6"/>
  <c r="A225" i="6" l="1"/>
  <c r="I224" i="6"/>
  <c r="A226" i="6" l="1"/>
  <c r="I225" i="6"/>
  <c r="A227" i="6" l="1"/>
  <c r="I226" i="6"/>
  <c r="A228" i="6" l="1"/>
  <c r="I227" i="6"/>
  <c r="A229" i="6" l="1"/>
  <c r="I228" i="6"/>
  <c r="A230" i="6" l="1"/>
  <c r="I229" i="6"/>
  <c r="A231" i="6" l="1"/>
  <c r="I230" i="6"/>
  <c r="A232" i="6" l="1"/>
  <c r="I231" i="6"/>
  <c r="A233" i="6" l="1"/>
  <c r="I232" i="6"/>
  <c r="A234" i="6" l="1"/>
  <c r="I233" i="6"/>
  <c r="A235" i="6" l="1"/>
  <c r="I234" i="6"/>
  <c r="A236" i="6" l="1"/>
  <c r="I235" i="6"/>
  <c r="A237" i="6" l="1"/>
  <c r="I236" i="6"/>
  <c r="A238" i="6" l="1"/>
  <c r="I237" i="6"/>
  <c r="A239" i="6" l="1"/>
  <c r="I238" i="6"/>
  <c r="A240" i="6" l="1"/>
  <c r="I239" i="6"/>
  <c r="A241" i="6" l="1"/>
  <c r="I240" i="6"/>
  <c r="A242" i="6" l="1"/>
  <c r="I241" i="6"/>
  <c r="A243" i="6" l="1"/>
  <c r="I242" i="6"/>
  <c r="A244" i="6" l="1"/>
  <c r="I243" i="6"/>
  <c r="A245" i="6" l="1"/>
  <c r="I244" i="6"/>
  <c r="A246" i="6" l="1"/>
  <c r="I245" i="6"/>
  <c r="A247" i="6" l="1"/>
  <c r="I246" i="6"/>
  <c r="A248" i="6" l="1"/>
  <c r="I247" i="6"/>
  <c r="A249" i="6" l="1"/>
  <c r="I248" i="6"/>
  <c r="A250" i="6" l="1"/>
  <c r="I249" i="6"/>
  <c r="A251" i="6" l="1"/>
  <c r="I250" i="6"/>
  <c r="A252" i="6" l="1"/>
  <c r="I251" i="6"/>
  <c r="A253" i="6" l="1"/>
  <c r="I252" i="6"/>
  <c r="A254" i="6" l="1"/>
  <c r="I253" i="6"/>
  <c r="A255" i="6" l="1"/>
  <c r="I254" i="6"/>
  <c r="A256" i="6" l="1"/>
  <c r="I255" i="6"/>
  <c r="A257" i="6" l="1"/>
  <c r="I256" i="6"/>
  <c r="A258" i="6" l="1"/>
  <c r="I257" i="6"/>
  <c r="A259" i="6" l="1"/>
  <c r="I258" i="6"/>
  <c r="A260" i="6" l="1"/>
  <c r="I259" i="6"/>
  <c r="A261" i="6" l="1"/>
  <c r="I260" i="6"/>
  <c r="A262" i="6" l="1"/>
  <c r="I261" i="6"/>
  <c r="A263" i="6" l="1"/>
  <c r="I262" i="6"/>
  <c r="A264" i="6" l="1"/>
  <c r="I263" i="6"/>
  <c r="A265" i="6" l="1"/>
  <c r="I264" i="6"/>
  <c r="A266" i="6" l="1"/>
  <c r="I265" i="6"/>
  <c r="A267" i="6" l="1"/>
  <c r="I266" i="6"/>
  <c r="A268" i="6" l="1"/>
  <c r="I267" i="6"/>
  <c r="A269" i="6" l="1"/>
  <c r="I268" i="6"/>
  <c r="A270" i="6" l="1"/>
  <c r="I269" i="6"/>
  <c r="A271" i="6" l="1"/>
  <c r="I270" i="6"/>
  <c r="A272" i="6" l="1"/>
  <c r="I271" i="6"/>
  <c r="A273" i="6" l="1"/>
  <c r="I272" i="6"/>
  <c r="A274" i="6" l="1"/>
  <c r="I273" i="6"/>
  <c r="A275" i="6" l="1"/>
  <c r="I274" i="6"/>
  <c r="A276" i="6" l="1"/>
  <c r="I275" i="6"/>
  <c r="A277" i="6" l="1"/>
  <c r="I276" i="6"/>
  <c r="A278" i="6" l="1"/>
  <c r="I277" i="6"/>
  <c r="A279" i="6" l="1"/>
  <c r="I278" i="6"/>
  <c r="A280" i="6" l="1"/>
  <c r="I279" i="6"/>
  <c r="A281" i="6" l="1"/>
  <c r="I280" i="6"/>
  <c r="A282" i="6" l="1"/>
  <c r="I281" i="6"/>
  <c r="A283" i="6" l="1"/>
  <c r="I282" i="6"/>
  <c r="A284" i="6" l="1"/>
  <c r="I283" i="6"/>
  <c r="A285" i="6" l="1"/>
  <c r="I284" i="6"/>
  <c r="A286" i="6" l="1"/>
  <c r="I285" i="6"/>
  <c r="A287" i="6" l="1"/>
  <c r="I286" i="6"/>
  <c r="A288" i="6" l="1"/>
  <c r="I287" i="6"/>
  <c r="A289" i="6" l="1"/>
  <c r="I288" i="6"/>
  <c r="A290" i="6" l="1"/>
  <c r="I289" i="6"/>
  <c r="A291" i="6" l="1"/>
  <c r="I290" i="6"/>
  <c r="A292" i="6" l="1"/>
  <c r="I291" i="6"/>
  <c r="A293" i="6" l="1"/>
  <c r="I292" i="6"/>
  <c r="A294" i="6" l="1"/>
  <c r="I293" i="6"/>
  <c r="A295" i="6" l="1"/>
  <c r="I294" i="6"/>
  <c r="A296" i="6" l="1"/>
  <c r="I295" i="6"/>
  <c r="A297" i="6" l="1"/>
  <c r="I296" i="6"/>
  <c r="A298" i="6" l="1"/>
  <c r="I297" i="6"/>
  <c r="A299" i="6" l="1"/>
  <c r="I298" i="6"/>
  <c r="A300" i="6" l="1"/>
  <c r="I299" i="6"/>
  <c r="A301" i="6" l="1"/>
  <c r="I300" i="6"/>
  <c r="A302" i="6" l="1"/>
  <c r="I301" i="6"/>
  <c r="A303" i="6" l="1"/>
  <c r="I302" i="6"/>
  <c r="A304" i="6" l="1"/>
  <c r="I303" i="6"/>
  <c r="A305" i="6" l="1"/>
  <c r="I304" i="6"/>
  <c r="A306" i="6" l="1"/>
  <c r="I305" i="6"/>
  <c r="A307" i="6" l="1"/>
  <c r="I306" i="6"/>
  <c r="A308" i="6" l="1"/>
  <c r="I307" i="6"/>
  <c r="A309" i="6" l="1"/>
  <c r="I308" i="6"/>
  <c r="A310" i="6" l="1"/>
  <c r="I309" i="6"/>
  <c r="A311" i="6" l="1"/>
  <c r="I310" i="6"/>
  <c r="A312" i="6" l="1"/>
  <c r="I311" i="6"/>
  <c r="A313" i="6" l="1"/>
  <c r="I312" i="6"/>
  <c r="A314" i="6" l="1"/>
  <c r="I313" i="6"/>
  <c r="A315" i="6" l="1"/>
  <c r="I314" i="6"/>
  <c r="A316" i="6" l="1"/>
  <c r="I315" i="6"/>
  <c r="A317" i="6" l="1"/>
  <c r="I316" i="6"/>
  <c r="A318" i="6" l="1"/>
  <c r="I317" i="6"/>
  <c r="A319" i="6" l="1"/>
  <c r="I318" i="6"/>
  <c r="A320" i="6" l="1"/>
  <c r="I319" i="6"/>
  <c r="A321" i="6" l="1"/>
  <c r="I320" i="6"/>
  <c r="A322" i="6" l="1"/>
  <c r="I321" i="6"/>
  <c r="A323" i="6" l="1"/>
  <c r="I322" i="6"/>
  <c r="A324" i="6" l="1"/>
  <c r="I323" i="6"/>
  <c r="A325" i="6" l="1"/>
  <c r="I324" i="6"/>
  <c r="A326" i="6" l="1"/>
  <c r="I325" i="6"/>
  <c r="A327" i="6" l="1"/>
  <c r="I326" i="6"/>
  <c r="A328" i="6" l="1"/>
  <c r="I327" i="6"/>
  <c r="A329" i="6" l="1"/>
  <c r="I328" i="6"/>
  <c r="A330" i="6" l="1"/>
  <c r="I329" i="6"/>
  <c r="A331" i="6" l="1"/>
  <c r="I330" i="6"/>
  <c r="A332" i="6" l="1"/>
  <c r="I332" i="6" s="1"/>
  <c r="I331" i="6"/>
</calcChain>
</file>

<file path=xl/sharedStrings.xml><?xml version="1.0" encoding="utf-8"?>
<sst xmlns="http://schemas.openxmlformats.org/spreadsheetml/2006/main" count="792" uniqueCount="541">
  <si>
    <t>Recommendation Systems</t>
  </si>
  <si>
    <t>AutoML</t>
  </si>
  <si>
    <t>resources</t>
  </si>
  <si>
    <t>https://arxiv.org/pdf/1904.12054.pdf</t>
  </si>
  <si>
    <t>Topic</t>
  </si>
  <si>
    <t>Domain</t>
  </si>
  <si>
    <t>Google Model Search</t>
  </si>
  <si>
    <t>Modern Recommender Systems</t>
  </si>
  <si>
    <t>Beam Search</t>
  </si>
  <si>
    <t>Optimisation/Search</t>
  </si>
  <si>
    <t>Modern Optimisation Algorithms</t>
  </si>
  <si>
    <t>Time Series Prediction</t>
  </si>
  <si>
    <t>Priority</t>
  </si>
  <si>
    <t>Deep Q-Learning</t>
  </si>
  <si>
    <t>Experimental Design</t>
  </si>
  <si>
    <t>tasks</t>
  </si>
  <si>
    <t>Model Explainers</t>
  </si>
  <si>
    <t>Shapley Values &amp; SHAP</t>
  </si>
  <si>
    <t>Variance Reduction in Experiments</t>
  </si>
  <si>
    <t>* https://github.com/slundberg/shap
* https://christophm.github.io/interpretable-ml-book/shapley.html
* https://docs.microsoft.com/en-us/azure/machine-learning/how-to-machine-learning-interpretability
* Shapley Values wikipedia page</t>
  </si>
  <si>
    <t xml:space="preserve">survey of AutoML </t>
  </si>
  <si>
    <t>* https://github.com/google/model_search</t>
  </si>
  <si>
    <t>(in blog)</t>
  </si>
  <si>
    <r>
      <t xml:space="preserve">* read the paper </t>
    </r>
    <r>
      <rPr>
        <b/>
        <i/>
        <sz val="11"/>
        <color theme="1"/>
        <rFont val="Calibri"/>
        <family val="2"/>
        <scheme val="minor"/>
      </rPr>
      <t xml:space="preserve">Benchmark and Survey of Automated
Machine Learning Frameworks
</t>
    </r>
    <r>
      <rPr>
        <sz val="11"/>
        <color theme="1"/>
        <rFont val="Calibri"/>
        <family val="2"/>
        <scheme val="minor"/>
      </rPr>
      <t>* summarise the paper</t>
    </r>
  </si>
  <si>
    <r>
      <t xml:space="preserve">* read the paper </t>
    </r>
    <r>
      <rPr>
        <b/>
        <i/>
        <sz val="11"/>
        <color theme="1"/>
        <rFont val="Calibri"/>
        <family val="2"/>
        <scheme val="minor"/>
      </rPr>
      <t>Interpreting Interpretability: Understanding Data Scientists’
Use of Interpretability Tools for Machine Learning</t>
    </r>
  </si>
  <si>
    <t>* http://www.jennwv.com/papers/interp-ds.pdf</t>
  </si>
  <si>
    <t>Problems in model explainability</t>
  </si>
  <si>
    <t>* understand Shapley Values, and implement myself 
* implement SHAP from scratch, replicating SHAP python package results
* possibly make a blog post</t>
  </si>
  <si>
    <t>Double Q-Learning</t>
  </si>
  <si>
    <t>Survey of Multi-Armed Bandit Algorithms</t>
  </si>
  <si>
    <t>Reinforcement Learning</t>
  </si>
  <si>
    <t>* Finish my blog post (99% done)</t>
  </si>
  <si>
    <t>Tabu Search</t>
  </si>
  <si>
    <t>Genetic Optimisation</t>
  </si>
  <si>
    <t>* Revisit my blog post on this and complete it</t>
  </si>
  <si>
    <t>* Implement from scratch and evaluate on some toy problems</t>
  </si>
  <si>
    <t>* Read and understand the process
* Read the original paper
* Implement myself on simple toy data using google's library
* Possibly implement myself from scratch (complexity dependent)</t>
  </si>
  <si>
    <t>* Survey of state-of-the-art
* Implementation of state-of-the-art models myself on toy data (have done wide&amp;deep and deep&amp;cross so far)</t>
  </si>
  <si>
    <t>Shannon Entropy</t>
  </si>
  <si>
    <t>Statistics</t>
  </si>
  <si>
    <t>Mututal Information</t>
  </si>
  <si>
    <t>* understand Mutual Information</t>
  </si>
  <si>
    <t>Approximate Nearest Neighbour Search</t>
  </si>
  <si>
    <t>ANNOY algorithm</t>
  </si>
  <si>
    <t>https://github.com/spotify/annoy</t>
  </si>
  <si>
    <t>* understand the algorithm, and explain it in a blog post
* include my speed &amp; accuracy benchmarking with the ANNOY python package in the blog</t>
  </si>
  <si>
    <t>* understand Shannon Information &amp; Shannon Entropy</t>
  </si>
  <si>
    <t>Resource</t>
  </si>
  <si>
    <t>Link</t>
  </si>
  <si>
    <t>Build a Career in Data Science</t>
  </si>
  <si>
    <t>The Click Reader's Path to Data Science in Python</t>
  </si>
  <si>
    <t>free</t>
  </si>
  <si>
    <t>yes</t>
  </si>
  <si>
    <t>Applied Multivariate Statistical Analysis</t>
  </si>
  <si>
    <t>no</t>
  </si>
  <si>
    <t>Johnson, Wichern</t>
  </si>
  <si>
    <t>Author(s)</t>
  </si>
  <si>
    <t>type</t>
  </si>
  <si>
    <t>textbook</t>
  </si>
  <si>
    <t>All of Statistics</t>
  </si>
  <si>
    <t>Wasserman</t>
  </si>
  <si>
    <t>Matrix Algebra for Data Analysis</t>
  </si>
  <si>
    <t>Strang</t>
  </si>
  <si>
    <t>Regression and other Stories</t>
  </si>
  <si>
    <t>Gelman, Hill, Vehtari</t>
  </si>
  <si>
    <t>d2l.ai</t>
  </si>
  <si>
    <t>Dive into Deep Learning</t>
  </si>
  <si>
    <t>online textbook</t>
  </si>
  <si>
    <t>Business Data Science</t>
  </si>
  <si>
    <t>Taddy</t>
  </si>
  <si>
    <t>Causal Inference in Statistics - a Primer</t>
  </si>
  <si>
    <t>Building ML-powered applications</t>
  </si>
  <si>
    <t>Ameisen</t>
  </si>
  <si>
    <t>R for Data Science</t>
  </si>
  <si>
    <t>Grolemund, Wickham</t>
  </si>
  <si>
    <t>https://r4ds.had.co.nz/</t>
  </si>
  <si>
    <t>Python Machine Learning</t>
  </si>
  <si>
    <t>https://www.packtpub.com/product/python-machine-learning-third-edition/9781789955750</t>
  </si>
  <si>
    <t>Raschka, Mirjalili</t>
  </si>
  <si>
    <t>Think Like a Data Scientist</t>
  </si>
  <si>
    <t>https://www.manning.com/books/think-like-a-data-scientist</t>
  </si>
  <si>
    <t>Godsey</t>
  </si>
  <si>
    <t>Statistical Rethinking</t>
  </si>
  <si>
    <t xml:space="preserve">Feature Engineering &amp; Selection: a Practical Approach for Predictive Models </t>
  </si>
  <si>
    <t>Kuhn, Johnson</t>
  </si>
  <si>
    <t>http://www.feat.engineering/</t>
  </si>
  <si>
    <t>Introduction to Statistical Learning</t>
  </si>
  <si>
    <t>Elements of Statistical Learning</t>
  </si>
  <si>
    <t>description/comment</t>
  </si>
  <si>
    <t>The Hundred-Page Machine Learning Book</t>
  </si>
  <si>
    <t>http://theMLbook.com/</t>
  </si>
  <si>
    <t>What is a p-value?</t>
  </si>
  <si>
    <t>Vickers</t>
  </si>
  <si>
    <t>The Lady Tasting Tea</t>
  </si>
  <si>
    <t>Salzburg</t>
  </si>
  <si>
    <t>Nolis, Robinson</t>
  </si>
  <si>
    <t>Applied Predictive Modeling</t>
  </si>
  <si>
    <t>Geron</t>
  </si>
  <si>
    <t>Survey Methodology</t>
  </si>
  <si>
    <t>Groves</t>
  </si>
  <si>
    <t>Calculus - Concepts &amp; Contexts</t>
  </si>
  <si>
    <t>Stewart</t>
  </si>
  <si>
    <t>Practical Linear Algebra: A Geometry Toolbox</t>
  </si>
  <si>
    <t>Machine Learning</t>
  </si>
  <si>
    <t>Mitchell</t>
  </si>
  <si>
    <t>Pattern Recognition &amp; Machine Learning</t>
  </si>
  <si>
    <t>Bishop</t>
  </si>
  <si>
    <t>Reinforcement Learning - An Introduction</t>
  </si>
  <si>
    <t>Sutton, Barto</t>
  </si>
  <si>
    <t>Neural Networks &amp; Deep Learning</t>
  </si>
  <si>
    <t>Nielsen</t>
  </si>
  <si>
    <t>http://neuralnetworksanddeeplearning.com/</t>
  </si>
  <si>
    <t>Deep Learning with Python</t>
  </si>
  <si>
    <t>Chollet</t>
  </si>
  <si>
    <t>https://www.deeplearningbook.org/</t>
  </si>
  <si>
    <t>Deep Learning</t>
  </si>
  <si>
    <t>Goodfellow, Bengio, Courville</t>
  </si>
  <si>
    <t>Generative Deep Learning: Teaching Machines to Paint, Write, Compose &amp; Play</t>
  </si>
  <si>
    <t>Foster</t>
  </si>
  <si>
    <t>The Pragmatic Programmer</t>
  </si>
  <si>
    <t>book</t>
  </si>
  <si>
    <t>Hunt, Thomas</t>
  </si>
  <si>
    <t>Numerical Methods: Design, Analysis, &amp; Computer Implementation of Algorithms</t>
  </si>
  <si>
    <t>Greenbaum, Chartier</t>
  </si>
  <si>
    <t>joe rating (out of 5)</t>
  </si>
  <si>
    <t>*****</t>
  </si>
  <si>
    <t>Hands-on Machine Learning with SKLearn, Keras, &amp; Tensorflow</t>
  </si>
  <si>
    <t>Automate the Boring Stuff with Python</t>
  </si>
  <si>
    <t>Sweigart</t>
  </si>
  <si>
    <t>A beginner's Guide to Clean Data</t>
  </si>
  <si>
    <t>Introduction to Machine Learning with Python: a Guide for Data Scientists</t>
  </si>
  <si>
    <t>Introduction to Machine Learning with Python: A Guide for Data Scientists - Gustavo Millen (millengustavo.github.io)</t>
  </si>
  <si>
    <t>Muller, Guido</t>
  </si>
  <si>
    <t>Unbeatable for fundamentals of calculus</t>
  </si>
  <si>
    <t>Introduction to Statistical Learning (ISLR)</t>
  </si>
  <si>
    <t>An excellent introduction, but doesn't go very deep</t>
  </si>
  <si>
    <t>Hidden Markov Models for Time Series An Introduction Using R</t>
  </si>
  <si>
    <t>Zucchini, MacDonald</t>
  </si>
  <si>
    <t>Introducing ML Ops</t>
  </si>
  <si>
    <t>The AI Ladder</t>
  </si>
  <si>
    <t>FaceBook Prophet</t>
  </si>
  <si>
    <t>https://colah.github.io/posts/2015-09-Visual-Information/</t>
  </si>
  <si>
    <t>start date</t>
  </si>
  <si>
    <t>end date</t>
  </si>
  <si>
    <t>status</t>
  </si>
  <si>
    <t>?</t>
  </si>
  <si>
    <t>Survey &amp; Implementation of Deep Recommenders</t>
  </si>
  <si>
    <t>* document state of the art in deep recommenders
* implement 1</t>
  </si>
  <si>
    <t>State Space Models / Kalman Filters</t>
  </si>
  <si>
    <t>https://arxiv.org/abs/2011.10715</t>
  </si>
  <si>
    <t>* read the paper</t>
  </si>
  <si>
    <t>A worrying analysis of probabilistic time series models</t>
  </si>
  <si>
    <t>* read the paper "a worrying analysis of probabilistic time series models" first
* read the original paper
* understand the alg
* test out implementation on various datasets
* code from scratch
* make a blog post</t>
  </si>
  <si>
    <t>transcribe list from Elouise meeting</t>
  </si>
  <si>
    <t>research/write email to Discovery</t>
  </si>
  <si>
    <t>FNB account fees</t>
  </si>
  <si>
    <t>stimulation toys</t>
  </si>
  <si>
    <t>* finish blog on survey of techniques via simulation (99% done)
* send to data elixir curator</t>
  </si>
  <si>
    <t>start_date</t>
  </si>
  <si>
    <t>kelpak on plants</t>
  </si>
  <si>
    <t>today:</t>
  </si>
  <si>
    <t>delay (days)</t>
  </si>
  <si>
    <t>word</t>
  </si>
  <si>
    <t>order ref</t>
  </si>
  <si>
    <t>cumulative n words</t>
  </si>
  <si>
    <t>date</t>
  </si>
  <si>
    <t>sentence ID</t>
  </si>
  <si>
    <t>word meaning</t>
  </si>
  <si>
    <t>sentence meaning</t>
  </si>
  <si>
    <t>cumulative n unique words</t>
  </si>
  <si>
    <t>cumulative word goal this date</t>
  </si>
  <si>
    <t>kuna</t>
  </si>
  <si>
    <t>ngomso</t>
  </si>
  <si>
    <t>it will rain tomorrow</t>
  </si>
  <si>
    <t>Kuza</t>
  </si>
  <si>
    <t>source</t>
  </si>
  <si>
    <t>Andiyikholelwa</t>
  </si>
  <si>
    <t>loo</t>
  </si>
  <si>
    <t>nto</t>
  </si>
  <si>
    <t>I don't believe that (thing)</t>
  </si>
  <si>
    <t>Speak Xhosa with us page 122</t>
  </si>
  <si>
    <t>Speak Xhosa with us page 115</t>
  </si>
  <si>
    <t>tomorrow</t>
  </si>
  <si>
    <t>download pram guide</t>
  </si>
  <si>
    <t>message Pam</t>
  </si>
  <si>
    <t>Thatha</t>
  </si>
  <si>
    <t>isitalato</t>
  </si>
  <si>
    <t>sokuqala</t>
  </si>
  <si>
    <t>ekunene</t>
  </si>
  <si>
    <t>Speak Xhosa with us page 110</t>
  </si>
  <si>
    <t>take</t>
  </si>
  <si>
    <t>Take the first road on your right</t>
  </si>
  <si>
    <t>days to complete</t>
  </si>
  <si>
    <t>Deep Learning Based Recommender Systems for Health Informatics</t>
  </si>
  <si>
    <t>Saha, Chowdhury, BisWas</t>
  </si>
  <si>
    <t>https://recsys.acm.org/</t>
  </si>
  <si>
    <t>recurring conference</t>
  </si>
  <si>
    <t>ACM Conference Series on Recommender Systems</t>
  </si>
  <si>
    <t>street</t>
  </si>
  <si>
    <t>the first</t>
  </si>
  <si>
    <t>right</t>
  </si>
  <si>
    <t>happy with my understanding for now</t>
  </si>
  <si>
    <t>Investigate variance-reducing experimental group assignment strategies on real data</t>
  </si>
  <si>
    <t>* make a list of options (spend regression, order classifier, optimisation on NSV in preperiod, ANN, lm spend regression, lm order classifier)
* try them out</t>
  </si>
  <si>
    <t>move plant with Wisdom</t>
  </si>
  <si>
    <t>https://github.com/clever-algorithms/CleverAlgorithms</t>
  </si>
  <si>
    <t>Clever Algorithms: Nature-Inspired Programming Recipes</t>
  </si>
  <si>
    <t>Brownley</t>
  </si>
  <si>
    <t>optimisation</t>
  </si>
  <si>
    <t>subject</t>
  </si>
  <si>
    <t>short descriptions of A LOT of interesting heuristic optimisation algorithms</t>
  </si>
  <si>
    <t>deep learning</t>
  </si>
  <si>
    <t>machine learning</t>
  </si>
  <si>
    <t>computer science</t>
  </si>
  <si>
    <t>mathematics</t>
  </si>
  <si>
    <t>Uza</t>
  </si>
  <si>
    <t>kuvuka</t>
  </si>
  <si>
    <t>ngabani</t>
  </si>
  <si>
    <t>ixesha</t>
  </si>
  <si>
    <t>ngoMvulo</t>
  </si>
  <si>
    <t>time</t>
  </si>
  <si>
    <t>Monday</t>
  </si>
  <si>
    <t>What time is she going to wake up on Monday?</t>
  </si>
  <si>
    <t>she is</t>
  </si>
  <si>
    <t>to wake</t>
  </si>
  <si>
    <t>what</t>
  </si>
  <si>
    <t>Ube (Nibe)</t>
  </si>
  <si>
    <t>nemini</t>
  </si>
  <si>
    <t>emnandi</t>
  </si>
  <si>
    <t>good</t>
  </si>
  <si>
    <t>You have (pl)</t>
  </si>
  <si>
    <t>day</t>
  </si>
  <si>
    <t>Have a nice day</t>
  </si>
  <si>
    <t>https://omniglot.com/language/phrases/xhosa.php#:~:text=Useful%20Xhosa%20phrases%20%20%20%20English%20,(sg)%20Ndi%20...%20%2034%20more%20rows</t>
  </si>
  <si>
    <t>return takealot laptop</t>
  </si>
  <si>
    <t>task</t>
  </si>
  <si>
    <t>done</t>
  </si>
  <si>
    <t>Woolf: emily RA, uif, arrange meeting</t>
  </si>
  <si>
    <t>clean bikes</t>
  </si>
  <si>
    <t>Develop a real solid grounding in tensorflow</t>
  </si>
  <si>
    <t>I don't believe that</t>
  </si>
  <si>
    <t>that</t>
  </si>
  <si>
    <t>thing</t>
  </si>
  <si>
    <t>Ulwimi</t>
  </si>
  <si>
    <t>olunye</t>
  </si>
  <si>
    <t>alwanelanga</t>
  </si>
  <si>
    <t>tu</t>
  </si>
  <si>
    <t>One language is never enough</t>
  </si>
  <si>
    <t>Yima!</t>
  </si>
  <si>
    <t>stop!</t>
  </si>
  <si>
    <t>Biza</t>
  </si>
  <si>
    <t>amapolisa</t>
  </si>
  <si>
    <t>call</t>
  </si>
  <si>
    <t>police</t>
  </si>
  <si>
    <t>Call the police</t>
  </si>
  <si>
    <t>insufficient</t>
  </si>
  <si>
    <t>https://probml.github.io/pml-book/</t>
  </si>
  <si>
    <t>Murphy</t>
  </si>
  <si>
    <t>Probabilistic Machine Learning</t>
  </si>
  <si>
    <t>ukudanisa</t>
  </si>
  <si>
    <t>to dance</t>
  </si>
  <si>
    <t>She does not like to dance</t>
  </si>
  <si>
    <t>Speak Xhosa with us page 41</t>
  </si>
  <si>
    <t>Akakuthandi</t>
  </si>
  <si>
    <t>Nanku</t>
  </si>
  <si>
    <t>Speak Xhosa with us page 154</t>
  </si>
  <si>
    <t>umfazi</t>
  </si>
  <si>
    <t>ofuna</t>
  </si>
  <si>
    <t>ukuthetha</t>
  </si>
  <si>
    <t>nawe</t>
  </si>
  <si>
    <t>Here is the woman who wants to talk to you</t>
  </si>
  <si>
    <t>woman</t>
  </si>
  <si>
    <t>wants</t>
  </si>
  <si>
    <t>to talk</t>
  </si>
  <si>
    <t>with you</t>
  </si>
  <si>
    <t>here</t>
  </si>
  <si>
    <t>emily uif</t>
  </si>
  <si>
    <t>education fund</t>
  </si>
  <si>
    <t>medical aid - how does this work with adoption</t>
  </si>
  <si>
    <t>how to save - in bond?</t>
  </si>
  <si>
    <t>emily pension - where to put it?</t>
  </si>
  <si>
    <t>could put it into RA</t>
  </si>
  <si>
    <t>..but Woolf says we should open a preservation fund</t>
  </si>
  <si>
    <t>can Emily find out the size of her pension savings?</t>
  </si>
  <si>
    <t>First 25k is tax free</t>
  </si>
  <si>
    <t>18% goes to tax</t>
  </si>
  <si>
    <t>woolf wants to see the government form (the application form)</t>
  </si>
  <si>
    <t>Emily to try to get her balance</t>
  </si>
  <si>
    <t>send through birth certificate info</t>
  </si>
  <si>
    <t>1123 premium</t>
  </si>
  <si>
    <t>with a savings account</t>
  </si>
  <si>
    <t>coastal saver</t>
  </si>
  <si>
    <t>(with day to day)</t>
  </si>
  <si>
    <t>coastal call</t>
  </si>
  <si>
    <t>em</t>
  </si>
  <si>
    <t>baby</t>
  </si>
  <si>
    <t>classic call</t>
  </si>
  <si>
    <t>(hospital only)</t>
  </si>
  <si>
    <t xml:space="preserve">gap cover </t>
  </si>
  <si>
    <t>everyone covered in the family</t>
  </si>
  <si>
    <t>under R500  for the family</t>
  </si>
  <si>
    <t>covers in hospital</t>
  </si>
  <si>
    <t>some operations covered out of hospital (big long list). E.g. colonoscopy</t>
  </si>
  <si>
    <t>MAKE SURE THAT WE HAVE AN ACCESS BOND</t>
  </si>
  <si>
    <t>or can change it to an access bond?</t>
  </si>
  <si>
    <t>can get a settlement figure from WesBank, and pay off the car?</t>
  </si>
  <si>
    <t>satrix unit trust for eduction fund</t>
  </si>
  <si>
    <t>minimum is like R300 or R400 or something</t>
  </si>
  <si>
    <t xml:space="preserve">email Woolf the contact </t>
  </si>
  <si>
    <t>get settlement figure from WesBank</t>
  </si>
  <si>
    <t>absa access bond query</t>
  </si>
  <si>
    <t>research satrix unit trust for education fund</t>
  </si>
  <si>
    <t>Statistial Rethinking</t>
  </si>
  <si>
    <t>bayesian statistics</t>
  </si>
  <si>
    <t>McElreath</t>
  </si>
  <si>
    <t>https://github.com/rmcelreath/stat_rethinking_2020</t>
  </si>
  <si>
    <t>up-to-date lectures (youtube) and lecture slides are free</t>
  </si>
  <si>
    <t>Isifundo</t>
  </si>
  <si>
    <t>Seshumi</t>
  </si>
  <si>
    <t>Elinesixhenxe</t>
  </si>
  <si>
    <t>lesson</t>
  </si>
  <si>
    <t>Speak Xhosa with us contents page</t>
  </si>
  <si>
    <t>Masiyenze</t>
  </si>
  <si>
    <t>ipati</t>
  </si>
  <si>
    <t>Let's have a party</t>
  </si>
  <si>
    <t>party</t>
  </si>
  <si>
    <t>ten</t>
  </si>
  <si>
    <t>seven</t>
  </si>
  <si>
    <t>Lesson 17</t>
  </si>
  <si>
    <t>Uyakhumbula</t>
  </si>
  <si>
    <t>ukuba</t>
  </si>
  <si>
    <t>ngumhla</t>
  </si>
  <si>
    <t>wam</t>
  </si>
  <si>
    <t>wokuzalwa</t>
  </si>
  <si>
    <t>ngomso?</t>
  </si>
  <si>
    <t>Do you remember that it is my birthday tomorrow?</t>
  </si>
  <si>
    <t>do you remember</t>
  </si>
  <si>
    <t>Speak Xhosa with us page 159</t>
  </si>
  <si>
    <t>Umalume</t>
  </si>
  <si>
    <t>uthengisa</t>
  </si>
  <si>
    <t>iimoto</t>
  </si>
  <si>
    <t>cars</t>
  </si>
  <si>
    <t>ngeemoto</t>
  </si>
  <si>
    <t>My uncle sells different types of car</t>
  </si>
  <si>
    <t>Speak Xhosa with us page 119</t>
  </si>
  <si>
    <t>was born</t>
  </si>
  <si>
    <t>mine</t>
  </si>
  <si>
    <t>let's do it</t>
  </si>
  <si>
    <t>it is the date</t>
  </si>
  <si>
    <t>Ndifike</t>
  </si>
  <si>
    <t>andangena</t>
  </si>
  <si>
    <t>I arrived</t>
  </si>
  <si>
    <t>and did not go in</t>
  </si>
  <si>
    <t>I arrived and did not go in</t>
  </si>
  <si>
    <t>Speak Xhosa with us page 141</t>
  </si>
  <si>
    <t xml:space="preserve">Asizi </t>
  </si>
  <si>
    <t>kuhlala</t>
  </si>
  <si>
    <t>xesha</t>
  </si>
  <si>
    <t>lide</t>
  </si>
  <si>
    <t>mhlawumbi</t>
  </si>
  <si>
    <t>iveki</t>
  </si>
  <si>
    <t>enye</t>
  </si>
  <si>
    <t>we are not</t>
  </si>
  <si>
    <t>long (time)</t>
  </si>
  <si>
    <t>week</t>
  </si>
  <si>
    <t>one</t>
  </si>
  <si>
    <t>We are not going to stay long, maybe a week</t>
  </si>
  <si>
    <t>Speak Xhosa with us page 118</t>
  </si>
  <si>
    <t>to stay</t>
  </si>
  <si>
    <t>likely/perhaps</t>
  </si>
  <si>
    <t>Baphi</t>
  </si>
  <si>
    <t>abantwana</t>
  </si>
  <si>
    <t>Where are your children?</t>
  </si>
  <si>
    <t>Lingakanani</t>
  </si>
  <si>
    <t>igumbi</t>
  </si>
  <si>
    <t>lokuphumla?</t>
  </si>
  <si>
    <t>Speak Xhosa with us page 84</t>
  </si>
  <si>
    <t>How big is the sitting room?</t>
  </si>
  <si>
    <t>bakho?</t>
  </si>
  <si>
    <t>Causal Graphical Models</t>
  </si>
  <si>
    <t>Abantwana</t>
  </si>
  <si>
    <t>baza</t>
  </si>
  <si>
    <t>kundibulisa</t>
  </si>
  <si>
    <t>xa</t>
  </si>
  <si>
    <t>bendibona</t>
  </si>
  <si>
    <t>the children</t>
  </si>
  <si>
    <t>they will</t>
  </si>
  <si>
    <t>to greet me</t>
  </si>
  <si>
    <t>while/as/when</t>
  </si>
  <si>
    <t>they see me</t>
  </si>
  <si>
    <t>The children will greet me when they see me</t>
  </si>
  <si>
    <t>Speak Xhosa with us page 164</t>
  </si>
  <si>
    <t>Unyanisile</t>
  </si>
  <si>
    <t>You are right</t>
  </si>
  <si>
    <t>Speak Xhosa with us page 151</t>
  </si>
  <si>
    <t>https://www.hsph.harvard.edu/miguel-hernan/causal-inference-book/</t>
  </si>
  <si>
    <t>Hernan, Robins</t>
  </si>
  <si>
    <t>causal inference</t>
  </si>
  <si>
    <t>Causal Inference: What If</t>
  </si>
  <si>
    <t>Bangaphi</t>
  </si>
  <si>
    <t>abafana</t>
  </si>
  <si>
    <t>abezayo</t>
  </si>
  <si>
    <t>Speak Xhosa with us page 60</t>
  </si>
  <si>
    <t>young men</t>
  </si>
  <si>
    <t>How many young men are coming?</t>
  </si>
  <si>
    <t>Ndinesisu</t>
  </si>
  <si>
    <t>I have a stomach (ache)</t>
  </si>
  <si>
    <t>move all savings to ABSA bond</t>
  </si>
  <si>
    <t>Targeted Maximum Likelihood Estimation</t>
  </si>
  <si>
    <t>Causality</t>
  </si>
  <si>
    <t>Heterogeneous Treatment Response</t>
  </si>
  <si>
    <t>beautiful, lengthy, grounded intuitive explanations</t>
  </si>
  <si>
    <t>Ndaphantse</t>
  </si>
  <si>
    <t>Ndafa</t>
  </si>
  <si>
    <t>I almost died</t>
  </si>
  <si>
    <t>Speak Xhosa with us page ?</t>
  </si>
  <si>
    <t>completed blog and uploaded to my website</t>
  </si>
  <si>
    <t>* https://www.researchgate.net/publication/228654100_Instant_Customer_Base_Analysis_Managerial_Heuristics_Often_Get_It_Right/link/0deec51a4c709cdaba000000/download
* https://cran.r-project.org/web/packages/BTYD/vignettes/BTYD-walkthrough.pdf
* http://www.reutterer.com/papers/platzer&amp;reutterer_pareto-ggg_2016.pdf
* https://cran.r-project.org/web/packages/BTYDplus/vignettes/BTYDplus-HowTo.pdf
* http://brucehardie.com/papers/018/fader_et_al_mksc_05.pdf</t>
  </si>
  <si>
    <t>completed initial phase of experiment
very interesting and useful results
could I expand on this and publish it?</t>
  </si>
  <si>
    <t>Pareto/GGG BTYD model</t>
  </si>
  <si>
    <t>* implement myself from scratch in python?</t>
  </si>
  <si>
    <t>Asiyomithi</t>
  </si>
  <si>
    <t>They are not trees</t>
  </si>
  <si>
    <t>Speak Xhosa with us page 23</t>
  </si>
  <si>
    <t>Abantu</t>
  </si>
  <si>
    <t>phi</t>
  </si>
  <si>
    <t>bazibeka</t>
  </si>
  <si>
    <t xml:space="preserve">izinto </t>
  </si>
  <si>
    <t>zabo</t>
  </si>
  <si>
    <t>etyotyombeni?</t>
  </si>
  <si>
    <t>Speak Xhosa with us page 83</t>
  </si>
  <si>
    <t>Where do people put their things in a shack?</t>
  </si>
  <si>
    <t>people</t>
  </si>
  <si>
    <t>they put it</t>
  </si>
  <si>
    <t>where</t>
  </si>
  <si>
    <t>things</t>
  </si>
  <si>
    <t>of theirs</t>
  </si>
  <si>
    <t>in a shack</t>
  </si>
  <si>
    <t>research crypto</t>
  </si>
  <si>
    <t>days taken</t>
  </si>
  <si>
    <t>Learn to Rank with XG-Boost</t>
  </si>
  <si>
    <t>busy working through tf-ranking example</t>
  </si>
  <si>
    <t>busy working through what if causal inference book</t>
  </si>
  <si>
    <t>busy reading through nvidia blog post</t>
  </si>
  <si>
    <t>* https://developer.nvidia.com/blog/learning-to-rank-with-xgboost-and-gpu/#:~:text=XGBoost%20is%20a%20widely%20used,descent%20using%20an%20objective%20function
* xg-boost learn2rank examples:    https://github.com/dmlc/xgboost/tree/master/demo/rank</t>
  </si>
  <si>
    <t>* read the nvidia blog post (https://developer.nvidia.com/blog/learning-to-rank-with-xgboost-and-gpu/#:~:text=XGBoost%20is%20a%20widely%20used,descent%20using%20an%20objective%20function)
* read the LambdaMART paper (https://www.microsoft.com/en-us/research/wp-content/uploads/2016/02/MSR-TR-2010-82.pdf)
* properly investigate and understand LambdaMART
* explore and understand the ranking loss functions in the XG-Boost library
* read this paper https://dl.acm.org/doi/10.1145/1963405.1963460
* compare ranking methods vs. XG-Boost on a simple ranking task (turn this into a quick blog post)</t>
  </si>
  <si>
    <t>send vox form</t>
  </si>
  <si>
    <t>pay traffic fines</t>
  </si>
  <si>
    <t>https://betanalpha.github.io/assets/case_studies/probability_theory.html</t>
  </si>
  <si>
    <t>Probability Theory (for scientists and engineers)</t>
  </si>
  <si>
    <t>webpage</t>
  </si>
  <si>
    <t>Betancourt</t>
  </si>
  <si>
    <t>check that fraudulent FNB payments were returned to my account</t>
  </si>
  <si>
    <t>check fraudulent FNB transactions</t>
  </si>
  <si>
    <t xml:space="preserve">Ikhona </t>
  </si>
  <si>
    <t>ikofu</t>
  </si>
  <si>
    <t>ikofu?</t>
  </si>
  <si>
    <t>Ayikho</t>
  </si>
  <si>
    <t>coffee</t>
  </si>
  <si>
    <t>Is there coffee?</t>
  </si>
  <si>
    <t>There is not coffee</t>
  </si>
  <si>
    <t>Speak Xhosa with us page 99</t>
  </si>
  <si>
    <t>kwenza</t>
  </si>
  <si>
    <t>ntoni</t>
  </si>
  <si>
    <t>ngo10</t>
  </si>
  <si>
    <t>kusasa</t>
  </si>
  <si>
    <t>she is going to</t>
  </si>
  <si>
    <t>to do</t>
  </si>
  <si>
    <t>at 10</t>
  </si>
  <si>
    <t>in the morning</t>
  </si>
  <si>
    <t>Ufuna</t>
  </si>
  <si>
    <t>ukundibona</t>
  </si>
  <si>
    <t>ngolwesingaphi?</t>
  </si>
  <si>
    <t>you want</t>
  </si>
  <si>
    <t>to see me</t>
  </si>
  <si>
    <t>what day is it?On what day?</t>
  </si>
  <si>
    <t>Which day do you want to see me on?</t>
  </si>
  <si>
    <t>https://web.stanford.edu/class/psych209/Readings/SuttonBartoIPRLBook2ndEd.pdf</t>
  </si>
  <si>
    <t>plant</t>
  </si>
  <si>
    <t>watering</t>
  </si>
  <si>
    <t>chives</t>
  </si>
  <si>
    <t>light</t>
  </si>
  <si>
    <t>whenever (hard to kill chives)</t>
  </si>
  <si>
    <t>bright, no harsh sun</t>
  </si>
  <si>
    <t>Monstera Deliciosa</t>
  </si>
  <si>
    <t>high humidity</t>
  </si>
  <si>
    <t>other preferences</t>
  </si>
  <si>
    <t>top part of soil to dry before rewatering
water thoroughly
provide good drainage</t>
  </si>
  <si>
    <t>top part of soil to dry before rewatering
water thoroughly
provide good drainage
mist regularly</t>
  </si>
  <si>
    <t>peace lily</t>
  </si>
  <si>
    <t>follow up with FNB about fraudulent transactions</t>
  </si>
  <si>
    <t>bright, indirect</t>
  </si>
  <si>
    <t>don’t like cold drafts</t>
  </si>
  <si>
    <t>poisonous</t>
  </si>
  <si>
    <t>Pepromia puteolata</t>
  </si>
  <si>
    <t>water when soil dry to the touch
water thoroughly
mist regularly
DO NOT OVERWATER</t>
  </si>
  <si>
    <t>Chamaedeora Elegans</t>
  </si>
  <si>
    <t>water when soil dry to the touch (e.g. once per week in summer)
water thoroughly
DO NOT OVERWATER</t>
  </si>
  <si>
    <t>TensorFlow Developer Certificate</t>
  </si>
  <si>
    <t>https://www.tensorflow.org/certificate
https://www.freecodecamp.org/news/how-i-passed-the-certified-tensorflow-developer-exam/
https://www.notion.so/15049893501f4387893a5de0059ef8a5?v=9154c52a61494668b12802f157bce0d4</t>
  </si>
  <si>
    <t>* https://paperswithcode.com/paper/tf-ranking-scalable-tensorflow-library-for
* https://www.tensorflow.org/tutorials/quickstart/advanced</t>
  </si>
  <si>
    <t>http://incompleteideas.net/book/the-book-2nd.html</t>
  </si>
  <si>
    <t>Cross Layer Investigation</t>
  </si>
  <si>
    <t>* investigate
* publish blog post</t>
  </si>
  <si>
    <t>task: update descriptions/tags in my website html</t>
  </si>
  <si>
    <t>Web Dev</t>
  </si>
  <si>
    <t>* refer to Mozilla quickstart to html course</t>
  </si>
  <si>
    <t>Simple browser Game in JavaScript</t>
  </si>
  <si>
    <t>The DCN and DCN-V2 papers on Arxiv</t>
  </si>
  <si>
    <t>completed, but not posted to my website</t>
  </si>
  <si>
    <t>read Recommender gym/simulator paper</t>
  </si>
  <si>
    <t>RecSim NG: Toward Principled Uncertainty Modeling for Recommender Ecosystems (https://arxiv.org/abs/2103.08057)</t>
  </si>
  <si>
    <t>Q-Learning, and Deep Q-Learning, theory</t>
  </si>
  <si>
    <t>conceptual exploration: Recommender System features</t>
  </si>
  <si>
    <t>reinforcement learning</t>
  </si>
  <si>
    <t>causal DAGs</t>
  </si>
  <si>
    <t>Fast Collaborative filtering at scale in Python</t>
  </si>
  <si>
    <t>automated feature engineering</t>
  </si>
  <si>
    <t>https://featuretools.alteryx.com/en/stable/#</t>
  </si>
  <si>
    <t>Feature Engineering</t>
  </si>
  <si>
    <t>https://www.deeplearning.ai/program/tensorflow-developer-professional-certificate/</t>
  </si>
  <si>
    <t>https://www.deeplearning.ai/program/tensorflow-advanced-techniques-specialization/</t>
  </si>
  <si>
    <t>https://www.deeplearning.ai/program/tensorflow-data-and-deployment-specialization/</t>
  </si>
  <si>
    <t>Course: tensorflow-developer-professional-certificate</t>
  </si>
  <si>
    <t>Course: tensorflow-data-and-deployment-specialization</t>
  </si>
  <si>
    <t>Course: tensorflow-advanced-techniques-specialization</t>
  </si>
  <si>
    <t>https://arxiv.org/pdf/2101.12153.pdf</t>
  </si>
  <si>
    <t>Read this paper: A Survey on Personality-Aware Recommendation Systems</t>
  </si>
  <si>
    <t>http://faculty.neu.edu.cn/yury/AAI/Textbook/Deep%20Learning%20with%20Python.pdf</t>
  </si>
  <si>
    <t>Model evaluation techniques</t>
  </si>
  <si>
    <t>summary of metrics based on confusion matrix</t>
  </si>
  <si>
    <t>Measuring data drift</t>
  </si>
  <si>
    <t>structured feature engineering strategies/approached</t>
  </si>
  <si>
    <t>check out explainer dashboard</t>
  </si>
  <si>
    <t>https://github.com/oegedijk/explainerdashboard</t>
  </si>
  <si>
    <t>e.g. look how predictions change as variable values are shifted. What are optimal cutoffs to use for different kinds of customer targeting?</t>
  </si>
  <si>
    <t>Using model predictions strategically</t>
  </si>
  <si>
    <t>http://docs.h2o.ai/driverless-ai/latest-stable/docs/userguide/transformations.html</t>
  </si>
  <si>
    <t>implement these myself?</t>
  </si>
  <si>
    <t>cold start recommender concept</t>
  </si>
  <si>
    <t>completed POC with simulated data in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</si>
</sst>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1"/>
    <xf numFmtId="0" fontId="0" fillId="0" borderId="0" xfId="0" applyAlignment="1">
      <alignment wrapText="1"/>
    </xf>
    <xf numFmtId="0" fontId="3" fillId="0" borderId="0" xfId="1" applyAlignment="1">
      <alignment wrapText="1"/>
    </xf>
    <xf numFmtId="14" fontId="0" fillId="0" borderId="0" xfId="0" applyNumberFormat="1"/>
    <xf numFmtId="1" fontId="0" fillId="0" borderId="0" xfId="0" applyNumberFormat="1"/>
    <xf numFmtId="0" fontId="1" fillId="0" borderId="2" xfId="0" applyFont="1" applyBorder="1" applyAlignment="1">
      <alignment horizontal="right"/>
    </xf>
    <xf numFmtId="14" fontId="1" fillId="0" borderId="3" xfId="0" applyNumberFormat="1" applyFont="1" applyBorder="1" applyAlignment="1">
      <alignment horizontal="right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wrapText="1"/>
    </xf>
    <xf numFmtId="14" fontId="0" fillId="0" borderId="0" xfId="0" applyNumberFormat="1" applyBorder="1"/>
    <xf numFmtId="0" fontId="0" fillId="0" borderId="0" xfId="0" applyBorder="1"/>
    <xf numFmtId="14" fontId="0" fillId="0" borderId="4" xfId="0" applyNumberFormat="1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0" fontId="0" fillId="0" borderId="0" xfId="0" applyFill="1" applyBorder="1"/>
    <xf numFmtId="0" fontId="0" fillId="0" borderId="0" xfId="0" applyFont="1" applyBorder="1"/>
    <xf numFmtId="0" fontId="0" fillId="0" borderId="1" xfId="0" applyBorder="1"/>
    <xf numFmtId="0" fontId="0" fillId="0" borderId="4" xfId="0" applyFill="1" applyBorder="1"/>
    <xf numFmtId="0" fontId="0" fillId="0" borderId="0" xfId="0" applyFont="1"/>
    <xf numFmtId="1" fontId="0" fillId="0" borderId="0" xfId="0" applyNumberFormat="1" applyFont="1"/>
    <xf numFmtId="0" fontId="0" fillId="0" borderId="5" xfId="0" applyFill="1" applyBorder="1"/>
    <xf numFmtId="164" fontId="0" fillId="0" borderId="0" xfId="0" applyNumberFormat="1"/>
    <xf numFmtId="14" fontId="0" fillId="0" borderId="6" xfId="0" applyNumberFormat="1" applyBorder="1"/>
    <xf numFmtId="1" fontId="0" fillId="0" borderId="4" xfId="0" applyNumberFormat="1" applyBorder="1"/>
    <xf numFmtId="1" fontId="0" fillId="0" borderId="5" xfId="0" applyNumberFormat="1" applyBorder="1"/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5230DE-F103-4CA5-A44B-80EF3F2FBB4E}" name="Table3" displayName="Table3" ref="A3:E24" totalsRowShown="0" headerRowDxfId="14">
  <autoFilter ref="A3:E24" xr:uid="{F746713E-2ED3-4C07-BAFC-D4E1020C1520}"/>
  <sortState xmlns:xlrd2="http://schemas.microsoft.com/office/spreadsheetml/2017/richdata2" ref="A4:E24">
    <sortCondition ref="E3:E24"/>
  </sortState>
  <tableColumns count="5">
    <tableColumn id="1" xr3:uid="{4C46E437-1FD2-4B1B-9399-4925D8887C65}" name="task"/>
    <tableColumn id="2" xr3:uid="{753BA475-575F-41E9-9F64-514190C9E6C9}" name="start_date" dataDxfId="13"/>
    <tableColumn id="3" xr3:uid="{6DA25C98-E492-4E58-BF3C-58756CF9091D}" name="delay (days)" dataDxfId="12"/>
    <tableColumn id="4" xr3:uid="{705EE4F1-172B-4504-8A5C-C48B94D644B5}" name="days to complete"/>
    <tableColumn id="5" xr3:uid="{49908019-CDF9-481D-9A9C-D8EDF2AE1082}" name="done">
      <calculatedColumnFormula>IF(C4="","yes","no")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794797-798A-454F-9ABF-64346BCF5C92}" name="Table13" displayName="Table13" ref="A1:H33" totalsRowShown="0" headerRowDxfId="3">
  <autoFilter ref="A1:H33" xr:uid="{603E2D23-E987-41F3-850A-D340C7684BE7}"/>
  <sortState xmlns:xlrd2="http://schemas.microsoft.com/office/spreadsheetml/2017/richdata2" ref="A2:H33">
    <sortCondition ref="A1:A33"/>
  </sortState>
  <tableColumns count="8">
    <tableColumn id="1" xr3:uid="{65ED6D54-FE4F-4A7D-8BAC-CDC6DE9680EB}" name="Resource"/>
    <tableColumn id="7" xr3:uid="{C2946FEA-CC8C-4CD2-A278-681F74A8C552}" name="joe rating (out of 5)"/>
    <tableColumn id="8" xr3:uid="{CD231714-0861-436E-97C9-86BCFE7F12D4}" name="subject"/>
    <tableColumn id="2" xr3:uid="{D6229851-FEB2-44E1-8EFF-FA2AC28167B5}" name="type"/>
    <tableColumn id="3" xr3:uid="{427F1C7F-67F0-4A60-838F-C9E77FF9559A}" name="Author(s)"/>
    <tableColumn id="4" xr3:uid="{7C47ABF0-BDC7-443C-B801-75D7BC6585B1}" name="Link"/>
    <tableColumn id="5" xr3:uid="{E1FD9D57-3713-497B-9311-687449E1CEEE}" name="free"/>
    <tableColumn id="6" xr3:uid="{5D8E74FF-B77D-41AE-9382-F2DADF351C66}" name="description/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D650A4-6DFE-49E8-8797-40B610AB4D57}" name="Table1" displayName="Table1" ref="A1:H43" totalsRowShown="0" headerRowDxfId="0">
  <autoFilter ref="A1:H43" xr:uid="{603E2D23-E987-41F3-850A-D340C7684BE7}"/>
  <sortState xmlns:xlrd2="http://schemas.microsoft.com/office/spreadsheetml/2017/richdata2" ref="A2:H43">
    <sortCondition descending="1" ref="A1:A43"/>
  </sortState>
  <tableColumns count="8">
    <tableColumn id="1" xr3:uid="{A9393AAA-C484-4D72-A8EC-3D8703F4DF1C}" name="Resource"/>
    <tableColumn id="7" xr3:uid="{B2D4C5EC-F6C3-456F-BCFE-0C1390EBC415}" name="joe rating (out of 5)"/>
    <tableColumn id="9" xr3:uid="{BBE56932-7DE7-4D00-8EA1-7954118860EE}" name="subject"/>
    <tableColumn id="2" xr3:uid="{32792FC7-E93B-4A21-ADF8-9A2C987616ED}" name="type"/>
    <tableColumn id="3" xr3:uid="{4C1BD949-B2B1-4044-A8EF-E43CF96965F9}" name="Author(s)"/>
    <tableColumn id="4" xr3:uid="{A0D77DEE-F16D-4FC2-B95A-335946AD9FC6}" name="Link"/>
    <tableColumn id="5" xr3:uid="{C30CC1A3-A225-4884-9746-393ECF3A621A}" name="free"/>
    <tableColumn id="6" xr3:uid="{8E422EA8-3AE7-45C5-827D-F7081A1A89E9}" name="description/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eplearning.ai/program/tensorflow-advanced-techniques-specialization/" TargetMode="External"/><Relationship Id="rId2" Type="http://schemas.openxmlformats.org/officeDocument/2006/relationships/hyperlink" Target="https://www.deeplearning.ai/program/tensorflow-developer-professional-certificate/" TargetMode="External"/><Relationship Id="rId1" Type="http://schemas.openxmlformats.org/officeDocument/2006/relationships/hyperlink" Target="https://www.tensorflow.org/certificate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millengustavo.github.io/intro-ml-python/" TargetMode="External"/><Relationship Id="rId1" Type="http://schemas.openxmlformats.org/officeDocument/2006/relationships/hyperlink" Target="http://themlbook.com/" TargetMode="Externa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7B21-2DAF-4899-98DC-A07423AB9B2A}">
  <dimension ref="A1:I48"/>
  <sheetViews>
    <sheetView tabSelected="1" zoomScale="80" zoomScaleNormal="80" workbookViewId="0"/>
  </sheetViews>
  <sheetFormatPr defaultRowHeight="14.4" x14ac:dyDescent="0.55000000000000004"/>
  <cols>
    <col min="1" max="1" width="6.734375" bestFit="1" customWidth="1"/>
    <col min="2" max="2" width="44.7890625" bestFit="1" customWidth="1"/>
    <col min="3" max="3" width="33.734375" bestFit="1" customWidth="1"/>
    <col min="4" max="5" width="10.15625" bestFit="1" customWidth="1"/>
    <col min="6" max="6" width="10.15625" customWidth="1"/>
    <col min="7" max="7" width="63.3671875" bestFit="1" customWidth="1"/>
    <col min="8" max="8" width="64.578125" customWidth="1"/>
    <col min="9" max="9" width="41.47265625" bestFit="1" customWidth="1"/>
  </cols>
  <sheetData>
    <row r="1" spans="1:9" x14ac:dyDescent="0.55000000000000004">
      <c r="A1" s="1" t="s">
        <v>12</v>
      </c>
      <c r="B1" s="1" t="s">
        <v>4</v>
      </c>
      <c r="C1" s="1" t="s">
        <v>5</v>
      </c>
      <c r="D1" s="1" t="s">
        <v>142</v>
      </c>
      <c r="E1" s="1" t="s">
        <v>143</v>
      </c>
      <c r="F1" s="1" t="s">
        <v>439</v>
      </c>
      <c r="G1" s="1" t="s">
        <v>2</v>
      </c>
      <c r="H1" s="1" t="s">
        <v>15</v>
      </c>
      <c r="I1" s="1" t="s">
        <v>144</v>
      </c>
    </row>
    <row r="2" spans="1:9" ht="28.8" x14ac:dyDescent="0.55000000000000004">
      <c r="A2" s="2">
        <v>1</v>
      </c>
      <c r="B2" s="3" t="s">
        <v>18</v>
      </c>
      <c r="C2" s="3" t="s">
        <v>14</v>
      </c>
      <c r="D2" s="3" t="s">
        <v>145</v>
      </c>
      <c r="E2" s="3" t="s">
        <v>145</v>
      </c>
      <c r="F2" s="2"/>
      <c r="G2" s="3" t="s">
        <v>22</v>
      </c>
      <c r="H2" s="4" t="s">
        <v>157</v>
      </c>
      <c r="I2" s="3" t="s">
        <v>416</v>
      </c>
    </row>
    <row r="3" spans="1:9" x14ac:dyDescent="0.55000000000000004">
      <c r="A3" s="2">
        <f>A2+1</f>
        <v>2</v>
      </c>
      <c r="B3" s="3" t="s">
        <v>38</v>
      </c>
      <c r="C3" s="3" t="s">
        <v>39</v>
      </c>
      <c r="D3" s="3" t="s">
        <v>145</v>
      </c>
      <c r="E3" s="12">
        <v>44266</v>
      </c>
      <c r="F3" s="31"/>
      <c r="G3" s="3" t="s">
        <v>141</v>
      </c>
      <c r="H3" s="4" t="s">
        <v>46</v>
      </c>
      <c r="I3" s="3" t="s">
        <v>201</v>
      </c>
    </row>
    <row r="4" spans="1:9" x14ac:dyDescent="0.55000000000000004">
      <c r="A4" s="2">
        <f t="shared" ref="A4:A48" si="0">A3+1</f>
        <v>3</v>
      </c>
      <c r="B4" s="3" t="s">
        <v>510</v>
      </c>
      <c r="C4" s="3" t="s">
        <v>0</v>
      </c>
      <c r="D4" s="3"/>
      <c r="E4" s="12"/>
      <c r="F4" s="31"/>
      <c r="G4" s="3" t="s">
        <v>511</v>
      </c>
      <c r="H4" s="4" t="s">
        <v>150</v>
      </c>
      <c r="I4" s="3"/>
    </row>
    <row r="5" spans="1:9" x14ac:dyDescent="0.55000000000000004">
      <c r="A5" s="2">
        <f t="shared" si="0"/>
        <v>4</v>
      </c>
      <c r="B5" s="3" t="s">
        <v>513</v>
      </c>
      <c r="C5" s="3" t="s">
        <v>0</v>
      </c>
      <c r="D5" s="12">
        <v>44345</v>
      </c>
      <c r="E5" s="12"/>
      <c r="F5" s="32">
        <f ca="1">TODAY()-D5</f>
        <v>39</v>
      </c>
      <c r="G5" s="3"/>
      <c r="H5" s="4"/>
      <c r="I5" s="3"/>
    </row>
    <row r="6" spans="1:9" x14ac:dyDescent="0.55000000000000004">
      <c r="A6" s="2">
        <f t="shared" si="0"/>
        <v>5</v>
      </c>
      <c r="B6" s="3" t="s">
        <v>516</v>
      </c>
      <c r="C6" s="3" t="s">
        <v>0</v>
      </c>
      <c r="D6" s="12">
        <v>44358</v>
      </c>
      <c r="E6" s="12"/>
      <c r="F6" s="32">
        <f t="shared" ref="F6:F8" ca="1" si="1">TODAY()-D6</f>
        <v>26</v>
      </c>
      <c r="G6" s="3"/>
      <c r="H6" s="4"/>
      <c r="I6" s="3"/>
    </row>
    <row r="7" spans="1:9" x14ac:dyDescent="0.55000000000000004">
      <c r="A7" s="2">
        <f t="shared" si="0"/>
        <v>6</v>
      </c>
      <c r="B7" s="3" t="s">
        <v>515</v>
      </c>
      <c r="C7" s="3" t="s">
        <v>409</v>
      </c>
      <c r="D7" s="12">
        <v>44348</v>
      </c>
      <c r="E7" s="12"/>
      <c r="F7" s="32">
        <f t="shared" ca="1" si="1"/>
        <v>36</v>
      </c>
      <c r="G7" s="3"/>
      <c r="H7" s="4"/>
      <c r="I7" s="3"/>
    </row>
    <row r="8" spans="1:9" x14ac:dyDescent="0.55000000000000004">
      <c r="A8" s="2">
        <f t="shared" si="0"/>
        <v>7</v>
      </c>
      <c r="B8" s="3" t="s">
        <v>539</v>
      </c>
      <c r="C8" s="3" t="s">
        <v>0</v>
      </c>
      <c r="D8" s="12">
        <v>44376</v>
      </c>
      <c r="E8" s="12"/>
      <c r="F8" s="32">
        <f t="shared" ca="1" si="1"/>
        <v>8</v>
      </c>
      <c r="G8" s="3"/>
      <c r="H8" s="4"/>
      <c r="I8" s="3" t="s">
        <v>540</v>
      </c>
    </row>
    <row r="9" spans="1:9" ht="28.8" x14ac:dyDescent="0.55000000000000004">
      <c r="A9" s="2">
        <f t="shared" si="0"/>
        <v>8</v>
      </c>
      <c r="B9" s="3" t="s">
        <v>536</v>
      </c>
      <c r="C9" s="3"/>
      <c r="D9" s="12"/>
      <c r="E9" s="12"/>
      <c r="F9" s="32"/>
      <c r="G9" s="3"/>
      <c r="H9" s="4" t="s">
        <v>535</v>
      </c>
      <c r="I9" s="3"/>
    </row>
    <row r="10" spans="1:9" x14ac:dyDescent="0.55000000000000004">
      <c r="A10" s="2">
        <f t="shared" si="0"/>
        <v>9</v>
      </c>
      <c r="B10" s="3" t="s">
        <v>527</v>
      </c>
      <c r="C10" s="3" t="s">
        <v>0</v>
      </c>
      <c r="D10" s="12"/>
      <c r="E10" s="12"/>
      <c r="F10" s="32"/>
      <c r="G10" s="3" t="s">
        <v>526</v>
      </c>
      <c r="H10" s="4"/>
      <c r="I10" s="3"/>
    </row>
    <row r="11" spans="1:9" x14ac:dyDescent="0.55000000000000004">
      <c r="A11" s="2">
        <f t="shared" si="0"/>
        <v>10</v>
      </c>
      <c r="B11" s="3" t="s">
        <v>532</v>
      </c>
      <c r="C11" s="3" t="s">
        <v>519</v>
      </c>
      <c r="D11" s="12"/>
      <c r="E11" s="12"/>
      <c r="F11" s="32"/>
      <c r="G11" s="3" t="s">
        <v>537</v>
      </c>
      <c r="H11" s="4" t="s">
        <v>538</v>
      </c>
      <c r="I11" s="3"/>
    </row>
    <row r="12" spans="1:9" x14ac:dyDescent="0.55000000000000004">
      <c r="A12" s="2">
        <f t="shared" si="0"/>
        <v>11</v>
      </c>
      <c r="B12" s="3" t="s">
        <v>517</v>
      </c>
      <c r="C12" s="3" t="s">
        <v>519</v>
      </c>
      <c r="D12" s="12"/>
      <c r="E12" s="12"/>
      <c r="F12" s="31"/>
      <c r="G12" s="3" t="s">
        <v>518</v>
      </c>
      <c r="H12" s="4"/>
      <c r="I12" s="3"/>
    </row>
    <row r="13" spans="1:9" x14ac:dyDescent="0.55000000000000004">
      <c r="A13" s="2">
        <f t="shared" si="0"/>
        <v>12</v>
      </c>
      <c r="B13" s="3" t="s">
        <v>529</v>
      </c>
      <c r="C13" s="3"/>
      <c r="D13" s="12"/>
      <c r="E13" s="12"/>
      <c r="F13" s="31"/>
      <c r="G13" s="3"/>
      <c r="H13" s="4"/>
      <c r="I13" s="3"/>
    </row>
    <row r="14" spans="1:9" x14ac:dyDescent="0.55000000000000004">
      <c r="A14" s="2">
        <f t="shared" si="0"/>
        <v>13</v>
      </c>
      <c r="B14" s="3" t="s">
        <v>531</v>
      </c>
      <c r="C14" s="3" t="s">
        <v>519</v>
      </c>
      <c r="D14" s="12"/>
      <c r="E14" s="12"/>
      <c r="F14" s="31"/>
      <c r="G14" s="3"/>
      <c r="H14" s="4"/>
      <c r="I14" s="3"/>
    </row>
    <row r="15" spans="1:9" x14ac:dyDescent="0.55000000000000004">
      <c r="A15" s="2">
        <f t="shared" si="0"/>
        <v>14</v>
      </c>
      <c r="B15" s="3" t="s">
        <v>530</v>
      </c>
      <c r="C15" s="3"/>
      <c r="D15" s="12"/>
      <c r="E15" s="12"/>
      <c r="F15" s="31"/>
      <c r="G15" s="3"/>
      <c r="H15" s="4"/>
      <c r="I15" s="3"/>
    </row>
    <row r="16" spans="1:9" ht="43.2" x14ac:dyDescent="0.55000000000000004">
      <c r="A16" s="2">
        <f t="shared" si="0"/>
        <v>15</v>
      </c>
      <c r="B16" s="6" t="s">
        <v>202</v>
      </c>
      <c r="C16" s="3" t="s">
        <v>14</v>
      </c>
      <c r="D16" s="8">
        <v>44266</v>
      </c>
      <c r="E16" s="8">
        <v>44294</v>
      </c>
      <c r="F16" s="32">
        <f>E16-D16</f>
        <v>28</v>
      </c>
      <c r="H16" s="6" t="s">
        <v>203</v>
      </c>
      <c r="I16" s="6" t="s">
        <v>418</v>
      </c>
    </row>
    <row r="17" spans="1:9" ht="28.8" x14ac:dyDescent="0.55000000000000004">
      <c r="A17" s="2">
        <f t="shared" si="0"/>
        <v>16</v>
      </c>
      <c r="B17" s="3" t="s">
        <v>146</v>
      </c>
      <c r="C17" s="3" t="s">
        <v>0</v>
      </c>
      <c r="D17" s="12">
        <v>44316</v>
      </c>
      <c r="E17" s="3"/>
      <c r="F17" s="32"/>
      <c r="G17" s="4" t="s">
        <v>500</v>
      </c>
      <c r="H17" s="4" t="s">
        <v>147</v>
      </c>
      <c r="I17" t="s">
        <v>441</v>
      </c>
    </row>
    <row r="18" spans="1:9" x14ac:dyDescent="0.55000000000000004">
      <c r="A18" s="2">
        <f t="shared" si="0"/>
        <v>17</v>
      </c>
      <c r="B18" s="3" t="s">
        <v>533</v>
      </c>
      <c r="C18" s="3"/>
      <c r="D18" s="12"/>
      <c r="E18" s="3"/>
      <c r="F18" s="32"/>
      <c r="G18" s="4" t="s">
        <v>534</v>
      </c>
      <c r="H18" s="4"/>
    </row>
    <row r="19" spans="1:9" x14ac:dyDescent="0.55000000000000004">
      <c r="A19" s="2">
        <f t="shared" si="0"/>
        <v>18</v>
      </c>
      <c r="B19" s="3" t="s">
        <v>504</v>
      </c>
      <c r="C19" s="3" t="s">
        <v>505</v>
      </c>
      <c r="D19" s="12"/>
      <c r="E19" s="3"/>
      <c r="F19" s="32"/>
      <c r="G19" s="4" t="s">
        <v>506</v>
      </c>
      <c r="H19" s="4"/>
    </row>
    <row r="20" spans="1:9" ht="28.8" x14ac:dyDescent="0.55000000000000004">
      <c r="A20" s="2">
        <f t="shared" si="0"/>
        <v>19</v>
      </c>
      <c r="B20" s="3" t="s">
        <v>523</v>
      </c>
      <c r="C20" s="3"/>
      <c r="D20" s="12"/>
      <c r="E20" s="3"/>
      <c r="F20" s="32"/>
      <c r="G20" s="33" t="s">
        <v>520</v>
      </c>
      <c r="H20" s="4"/>
    </row>
    <row r="21" spans="1:9" x14ac:dyDescent="0.55000000000000004">
      <c r="A21" s="2">
        <f t="shared" si="0"/>
        <v>20</v>
      </c>
      <c r="B21" s="3" t="s">
        <v>524</v>
      </c>
      <c r="C21" s="3"/>
      <c r="D21" s="12"/>
      <c r="E21" s="3"/>
      <c r="F21" s="32"/>
      <c r="G21" s="4" t="s">
        <v>522</v>
      </c>
      <c r="H21" s="4"/>
    </row>
    <row r="22" spans="1:9" ht="28.8" x14ac:dyDescent="0.55000000000000004">
      <c r="A22" s="2">
        <f t="shared" si="0"/>
        <v>21</v>
      </c>
      <c r="B22" s="3" t="s">
        <v>525</v>
      </c>
      <c r="C22" s="3"/>
      <c r="D22" s="12"/>
      <c r="E22" s="3"/>
      <c r="F22" s="32"/>
      <c r="G22" s="33" t="s">
        <v>521</v>
      </c>
      <c r="H22" s="4"/>
    </row>
    <row r="23" spans="1:9" ht="28.8" x14ac:dyDescent="0.55000000000000004">
      <c r="A23" s="2">
        <f t="shared" si="0"/>
        <v>22</v>
      </c>
      <c r="B23" s="3" t="s">
        <v>502</v>
      </c>
      <c r="C23" s="3" t="s">
        <v>115</v>
      </c>
      <c r="D23" s="12">
        <v>44337</v>
      </c>
      <c r="E23" s="12">
        <v>44347</v>
      </c>
      <c r="F23" s="32">
        <f t="shared" ref="F23" si="2">E23-D23</f>
        <v>10</v>
      </c>
      <c r="G23" s="4" t="s">
        <v>508</v>
      </c>
      <c r="H23" s="4" t="s">
        <v>503</v>
      </c>
      <c r="I23" t="s">
        <v>509</v>
      </c>
    </row>
    <row r="24" spans="1:9" ht="158.4" x14ac:dyDescent="0.55000000000000004">
      <c r="A24" s="2">
        <f t="shared" si="0"/>
        <v>23</v>
      </c>
      <c r="B24" s="3" t="s">
        <v>440</v>
      </c>
      <c r="C24" s="3" t="s">
        <v>0</v>
      </c>
      <c r="D24" s="12">
        <v>44302</v>
      </c>
      <c r="E24" s="12">
        <v>44316</v>
      </c>
      <c r="F24" s="32">
        <f>E24-D24</f>
        <v>14</v>
      </c>
      <c r="G24" s="4" t="s">
        <v>444</v>
      </c>
      <c r="H24" s="4" t="s">
        <v>445</v>
      </c>
      <c r="I24" t="s">
        <v>443</v>
      </c>
    </row>
    <row r="25" spans="1:9" x14ac:dyDescent="0.55000000000000004">
      <c r="A25" s="2">
        <f t="shared" si="0"/>
        <v>24</v>
      </c>
      <c r="B25" s="3" t="s">
        <v>507</v>
      </c>
      <c r="C25" s="3" t="s">
        <v>505</v>
      </c>
      <c r="D25" s="12">
        <v>44319</v>
      </c>
      <c r="E25" s="12">
        <v>44327</v>
      </c>
      <c r="F25" s="32">
        <f>E25-D25</f>
        <v>8</v>
      </c>
      <c r="G25" s="4"/>
      <c r="H25" s="4"/>
    </row>
    <row r="26" spans="1:9" ht="28.8" x14ac:dyDescent="0.55000000000000004">
      <c r="A26" s="2">
        <f t="shared" si="0"/>
        <v>25</v>
      </c>
      <c r="B26" s="3" t="s">
        <v>512</v>
      </c>
      <c r="C26" s="3" t="s">
        <v>30</v>
      </c>
      <c r="D26" s="12"/>
      <c r="E26" s="3"/>
      <c r="F26" s="3"/>
      <c r="G26" s="4" t="s">
        <v>477</v>
      </c>
      <c r="H26" s="4"/>
    </row>
    <row r="27" spans="1:9" ht="72" x14ac:dyDescent="0.55000000000000004">
      <c r="A27" s="2">
        <f t="shared" si="0"/>
        <v>26</v>
      </c>
      <c r="B27" s="3" t="s">
        <v>498</v>
      </c>
      <c r="C27" s="3" t="s">
        <v>115</v>
      </c>
      <c r="D27" s="12"/>
      <c r="E27" s="3"/>
      <c r="F27" s="3"/>
      <c r="G27" s="33" t="s">
        <v>499</v>
      </c>
      <c r="H27" s="4"/>
    </row>
    <row r="28" spans="1:9" ht="144" x14ac:dyDescent="0.55000000000000004">
      <c r="A28" s="2">
        <f t="shared" si="0"/>
        <v>27</v>
      </c>
      <c r="B28" s="3" t="s">
        <v>419</v>
      </c>
      <c r="C28" s="3" t="s">
        <v>39</v>
      </c>
      <c r="D28" s="3"/>
      <c r="E28" s="3"/>
      <c r="F28" s="3"/>
      <c r="G28" s="4" t="s">
        <v>417</v>
      </c>
      <c r="H28" s="4" t="s">
        <v>420</v>
      </c>
    </row>
    <row r="29" spans="1:9" ht="43.2" x14ac:dyDescent="0.55000000000000004">
      <c r="A29" s="2">
        <f t="shared" si="0"/>
        <v>28</v>
      </c>
      <c r="B29" s="3" t="s">
        <v>20</v>
      </c>
      <c r="C29" s="3" t="s">
        <v>1</v>
      </c>
      <c r="D29" s="3"/>
      <c r="E29" s="3"/>
      <c r="F29" s="3"/>
      <c r="G29" s="3" t="s">
        <v>3</v>
      </c>
      <c r="H29" s="4" t="s">
        <v>23</v>
      </c>
    </row>
    <row r="30" spans="1:9" x14ac:dyDescent="0.55000000000000004">
      <c r="A30" s="2">
        <f t="shared" si="0"/>
        <v>29</v>
      </c>
      <c r="B30" s="3" t="s">
        <v>379</v>
      </c>
      <c r="C30" s="3" t="s">
        <v>409</v>
      </c>
      <c r="I30" t="s">
        <v>442</v>
      </c>
    </row>
    <row r="31" spans="1:9" x14ac:dyDescent="0.55000000000000004">
      <c r="A31" s="2">
        <f t="shared" si="0"/>
        <v>30</v>
      </c>
      <c r="B31" s="3" t="s">
        <v>239</v>
      </c>
      <c r="C31" s="3" t="s">
        <v>115</v>
      </c>
      <c r="D31" s="3"/>
      <c r="E31" s="3"/>
      <c r="F31" s="3"/>
      <c r="G31" s="3"/>
      <c r="H31" s="4"/>
    </row>
    <row r="32" spans="1:9" s="3" customFormat="1" ht="72" x14ac:dyDescent="0.55000000000000004">
      <c r="A32" s="2">
        <f t="shared" si="0"/>
        <v>31</v>
      </c>
      <c r="B32" s="3" t="s">
        <v>17</v>
      </c>
      <c r="C32" s="3" t="s">
        <v>16</v>
      </c>
      <c r="D32" s="3" t="s">
        <v>145</v>
      </c>
      <c r="G32" s="4" t="s">
        <v>19</v>
      </c>
      <c r="H32" s="4" t="s">
        <v>27</v>
      </c>
    </row>
    <row r="33" spans="1:8" ht="57.6" x14ac:dyDescent="0.55000000000000004">
      <c r="A33" s="2">
        <f t="shared" si="0"/>
        <v>32</v>
      </c>
      <c r="B33" s="3" t="s">
        <v>6</v>
      </c>
      <c r="C33" s="3" t="s">
        <v>1</v>
      </c>
      <c r="D33" s="3"/>
      <c r="E33" s="3"/>
      <c r="F33" s="3"/>
      <c r="G33" s="3" t="s">
        <v>21</v>
      </c>
      <c r="H33" s="4" t="s">
        <v>36</v>
      </c>
    </row>
    <row r="34" spans="1:8" ht="43.2" x14ac:dyDescent="0.55000000000000004">
      <c r="A34" s="2">
        <f t="shared" si="0"/>
        <v>33</v>
      </c>
      <c r="B34" s="3" t="s">
        <v>7</v>
      </c>
      <c r="C34" s="3" t="s">
        <v>0</v>
      </c>
      <c r="D34" s="3"/>
      <c r="E34" s="3"/>
      <c r="F34" s="3"/>
      <c r="G34" s="3"/>
      <c r="H34" s="4" t="s">
        <v>37</v>
      </c>
    </row>
    <row r="35" spans="1:8" ht="28.8" x14ac:dyDescent="0.55000000000000004">
      <c r="A35" s="2">
        <f t="shared" si="0"/>
        <v>34</v>
      </c>
      <c r="B35" s="3" t="s">
        <v>26</v>
      </c>
      <c r="C35" s="3" t="s">
        <v>16</v>
      </c>
      <c r="D35" s="3"/>
      <c r="E35" s="3"/>
      <c r="F35" s="3"/>
      <c r="G35" s="3" t="s">
        <v>25</v>
      </c>
      <c r="H35" s="4" t="s">
        <v>24</v>
      </c>
    </row>
    <row r="36" spans="1:8" x14ac:dyDescent="0.55000000000000004">
      <c r="A36" s="2">
        <f t="shared" si="0"/>
        <v>35</v>
      </c>
      <c r="B36" s="3" t="s">
        <v>408</v>
      </c>
      <c r="C36" s="3" t="s">
        <v>410</v>
      </c>
      <c r="D36" s="3"/>
      <c r="E36" s="3"/>
      <c r="F36" s="3"/>
      <c r="G36" s="3"/>
      <c r="H36" s="4"/>
    </row>
    <row r="37" spans="1:8" x14ac:dyDescent="0.55000000000000004">
      <c r="A37" s="2">
        <f t="shared" si="0"/>
        <v>36</v>
      </c>
      <c r="B37" s="3" t="s">
        <v>8</v>
      </c>
      <c r="C37" s="3" t="s">
        <v>9</v>
      </c>
      <c r="D37" s="3"/>
      <c r="E37" s="3"/>
      <c r="F37" s="3"/>
      <c r="G37" s="3"/>
      <c r="H37" s="3"/>
    </row>
    <row r="38" spans="1:8" x14ac:dyDescent="0.55000000000000004">
      <c r="A38" s="2">
        <f t="shared" si="0"/>
        <v>37</v>
      </c>
      <c r="B38" s="3" t="s">
        <v>10</v>
      </c>
      <c r="C38" s="3" t="s">
        <v>9</v>
      </c>
      <c r="D38" s="3"/>
      <c r="E38" s="3"/>
      <c r="F38" s="3"/>
      <c r="G38" s="3"/>
      <c r="H38" s="3"/>
    </row>
    <row r="39" spans="1:8" x14ac:dyDescent="0.55000000000000004">
      <c r="A39" s="2">
        <f t="shared" si="0"/>
        <v>38</v>
      </c>
      <c r="B39" s="4" t="s">
        <v>151</v>
      </c>
      <c r="C39" s="3" t="s">
        <v>11</v>
      </c>
      <c r="D39" s="3"/>
      <c r="E39" s="3"/>
      <c r="F39" s="3"/>
      <c r="G39" s="3" t="s">
        <v>149</v>
      </c>
      <c r="H39" s="3" t="s">
        <v>150</v>
      </c>
    </row>
    <row r="40" spans="1:8" ht="86.4" x14ac:dyDescent="0.55000000000000004">
      <c r="A40" s="2">
        <f t="shared" si="0"/>
        <v>39</v>
      </c>
      <c r="B40" s="3" t="s">
        <v>140</v>
      </c>
      <c r="C40" s="3" t="s">
        <v>11</v>
      </c>
      <c r="D40" s="3"/>
      <c r="E40" s="3"/>
      <c r="F40" s="3"/>
      <c r="H40" s="6" t="s">
        <v>152</v>
      </c>
    </row>
    <row r="41" spans="1:8" x14ac:dyDescent="0.55000000000000004">
      <c r="A41" s="2">
        <f t="shared" si="0"/>
        <v>40</v>
      </c>
      <c r="B41" s="3" t="s">
        <v>148</v>
      </c>
      <c r="C41" s="3" t="s">
        <v>11</v>
      </c>
      <c r="D41" s="3"/>
      <c r="E41" s="3"/>
      <c r="F41" s="3"/>
      <c r="G41" s="3"/>
      <c r="H41" s="3"/>
    </row>
    <row r="42" spans="1:8" x14ac:dyDescent="0.55000000000000004">
      <c r="A42" s="2">
        <f t="shared" si="0"/>
        <v>41</v>
      </c>
      <c r="B42" s="3" t="s">
        <v>13</v>
      </c>
      <c r="C42" s="3" t="s">
        <v>30</v>
      </c>
      <c r="D42" s="3"/>
      <c r="E42" s="3"/>
      <c r="F42" s="3"/>
      <c r="G42" s="3"/>
      <c r="H42" s="3"/>
    </row>
    <row r="43" spans="1:8" x14ac:dyDescent="0.55000000000000004">
      <c r="A43" s="2">
        <f t="shared" si="0"/>
        <v>42</v>
      </c>
      <c r="B43" s="3" t="s">
        <v>29</v>
      </c>
      <c r="C43" s="3" t="s">
        <v>30</v>
      </c>
      <c r="D43" s="3"/>
      <c r="E43" s="3"/>
      <c r="F43" s="3"/>
      <c r="G43" s="3"/>
      <c r="H43" s="3" t="s">
        <v>31</v>
      </c>
    </row>
    <row r="44" spans="1:8" x14ac:dyDescent="0.55000000000000004">
      <c r="A44" s="2">
        <f t="shared" si="0"/>
        <v>43</v>
      </c>
      <c r="B44" s="3" t="s">
        <v>28</v>
      </c>
      <c r="C44" s="3" t="s">
        <v>30</v>
      </c>
      <c r="D44" s="3"/>
      <c r="E44" s="3"/>
      <c r="F44" s="3"/>
      <c r="G44" s="3"/>
      <c r="H44" s="3" t="s">
        <v>31</v>
      </c>
    </row>
    <row r="45" spans="1:8" x14ac:dyDescent="0.55000000000000004">
      <c r="A45" s="2">
        <f t="shared" si="0"/>
        <v>44</v>
      </c>
      <c r="B45" s="3" t="s">
        <v>33</v>
      </c>
      <c r="C45" s="3" t="s">
        <v>9</v>
      </c>
      <c r="D45" s="3"/>
      <c r="E45" s="3"/>
      <c r="F45" s="3"/>
      <c r="G45" s="3"/>
      <c r="H45" s="3" t="s">
        <v>34</v>
      </c>
    </row>
    <row r="46" spans="1:8" x14ac:dyDescent="0.55000000000000004">
      <c r="A46" s="2">
        <f t="shared" si="0"/>
        <v>45</v>
      </c>
      <c r="B46" s="3" t="s">
        <v>32</v>
      </c>
      <c r="C46" s="3" t="s">
        <v>9</v>
      </c>
      <c r="D46" s="3"/>
      <c r="E46" s="3"/>
      <c r="F46" s="3"/>
      <c r="G46" s="3"/>
      <c r="H46" s="3" t="s">
        <v>35</v>
      </c>
    </row>
    <row r="47" spans="1:8" ht="43.2" x14ac:dyDescent="0.55000000000000004">
      <c r="A47" s="2">
        <f t="shared" si="0"/>
        <v>46</v>
      </c>
      <c r="B47" s="3" t="s">
        <v>43</v>
      </c>
      <c r="C47" s="3" t="s">
        <v>42</v>
      </c>
      <c r="D47" s="3"/>
      <c r="E47" s="3"/>
      <c r="F47" s="3"/>
      <c r="G47" s="5" t="s">
        <v>44</v>
      </c>
      <c r="H47" s="4" t="s">
        <v>45</v>
      </c>
    </row>
    <row r="48" spans="1:8" x14ac:dyDescent="0.55000000000000004">
      <c r="A48" s="2">
        <f t="shared" si="0"/>
        <v>47</v>
      </c>
      <c r="B48" s="3" t="s">
        <v>40</v>
      </c>
      <c r="C48" s="3" t="s">
        <v>39</v>
      </c>
      <c r="D48" s="3" t="s">
        <v>145</v>
      </c>
      <c r="E48" s="3"/>
      <c r="F48" s="3"/>
      <c r="G48" s="3" t="s">
        <v>141</v>
      </c>
      <c r="H48" s="4" t="s">
        <v>41</v>
      </c>
    </row>
  </sheetData>
  <hyperlinks>
    <hyperlink ref="G27" r:id="rId1" display="https://www.tensorflow.org/certificate_x000a_" xr:uid="{E09A9093-7997-48C2-BCFA-B0107419F350}"/>
    <hyperlink ref="G20" r:id="rId2" xr:uid="{E2F3DFB6-E767-4213-8B75-5CDFFB6F798D}"/>
    <hyperlink ref="G22" r:id="rId3" xr:uid="{25F73B05-214F-42A7-98D6-F32FAA29558B}"/>
  </hyperlinks>
  <pageMargins left="0.7" right="0.7" top="0.75" bottom="0.75" header="0.3" footer="0.3"/>
  <pageSetup orientation="portrait" horizontalDpi="4294967293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1487-484A-483E-8CA2-3AA67B67A257}">
  <dimension ref="A1:E6"/>
  <sheetViews>
    <sheetView workbookViewId="0">
      <selection activeCell="A6" sqref="A6"/>
    </sheetView>
  </sheetViews>
  <sheetFormatPr defaultRowHeight="14.4" x14ac:dyDescent="0.55000000000000004"/>
  <cols>
    <col min="1" max="1" width="19.7890625" customWidth="1"/>
    <col min="2" max="2" width="30.15625" customWidth="1"/>
    <col min="3" max="3" width="16.26171875" bestFit="1" customWidth="1"/>
    <col min="4" max="4" width="48.3671875" customWidth="1"/>
  </cols>
  <sheetData>
    <row r="1" spans="1:5" x14ac:dyDescent="0.55000000000000004">
      <c r="A1" s="1" t="s">
        <v>478</v>
      </c>
      <c r="B1" s="1" t="s">
        <v>479</v>
      </c>
      <c r="C1" s="1" t="s">
        <v>481</v>
      </c>
      <c r="D1" s="1" t="s">
        <v>486</v>
      </c>
      <c r="E1" s="1" t="s">
        <v>493</v>
      </c>
    </row>
    <row r="2" spans="1:5" x14ac:dyDescent="0.55000000000000004">
      <c r="A2" t="s">
        <v>480</v>
      </c>
      <c r="B2" t="s">
        <v>482</v>
      </c>
    </row>
    <row r="3" spans="1:5" ht="72" x14ac:dyDescent="0.55000000000000004">
      <c r="A3" t="s">
        <v>484</v>
      </c>
      <c r="B3" s="6" t="s">
        <v>488</v>
      </c>
      <c r="C3" t="s">
        <v>483</v>
      </c>
      <c r="D3" t="s">
        <v>485</v>
      </c>
      <c r="E3" t="s">
        <v>52</v>
      </c>
    </row>
    <row r="4" spans="1:5" ht="57.6" x14ac:dyDescent="0.55000000000000004">
      <c r="A4" t="s">
        <v>489</v>
      </c>
      <c r="B4" s="6" t="s">
        <v>487</v>
      </c>
      <c r="C4" t="s">
        <v>491</v>
      </c>
      <c r="D4" t="s">
        <v>492</v>
      </c>
      <c r="E4" t="s">
        <v>52</v>
      </c>
    </row>
    <row r="5" spans="1:5" ht="57.6" x14ac:dyDescent="0.55000000000000004">
      <c r="A5" t="s">
        <v>494</v>
      </c>
      <c r="B5" s="6" t="s">
        <v>495</v>
      </c>
      <c r="C5" t="s">
        <v>491</v>
      </c>
      <c r="D5" t="s">
        <v>492</v>
      </c>
    </row>
    <row r="6" spans="1:5" ht="57.6" x14ac:dyDescent="0.55000000000000004">
      <c r="A6" t="s">
        <v>496</v>
      </c>
      <c r="B6" s="6" t="s">
        <v>497</v>
      </c>
      <c r="C6" t="s">
        <v>491</v>
      </c>
      <c r="D6" t="s">
        <v>492</v>
      </c>
    </row>
  </sheetData>
  <conditionalFormatting sqref="E1:E1048576">
    <cfRule type="containsText" dxfId="17" priority="1" operator="containsText" text="yes">
      <formula>NOT(ISERROR(SEARCH("yes",E1)))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EE38-509A-463A-9F50-558629E2E502}">
  <dimension ref="A1:J24"/>
  <sheetViews>
    <sheetView workbookViewId="0">
      <selection activeCell="A8" sqref="A8"/>
    </sheetView>
  </sheetViews>
  <sheetFormatPr defaultRowHeight="14.4" x14ac:dyDescent="0.55000000000000004"/>
  <cols>
    <col min="1" max="1" width="35.05078125" bestFit="1" customWidth="1"/>
    <col min="2" max="2" width="10.9453125" customWidth="1"/>
    <col min="3" max="3" width="12.3671875" customWidth="1"/>
    <col min="4" max="4" width="16.47265625" customWidth="1"/>
  </cols>
  <sheetData>
    <row r="1" spans="1:10" x14ac:dyDescent="0.55000000000000004">
      <c r="A1" s="10" t="s">
        <v>160</v>
      </c>
      <c r="B1" s="11">
        <f ca="1">TODAY()</f>
        <v>44384</v>
      </c>
    </row>
    <row r="3" spans="1:10" x14ac:dyDescent="0.55000000000000004">
      <c r="A3" s="1" t="s">
        <v>235</v>
      </c>
      <c r="B3" s="1" t="s">
        <v>158</v>
      </c>
      <c r="C3" s="1" t="s">
        <v>161</v>
      </c>
      <c r="D3" s="1" t="s">
        <v>192</v>
      </c>
      <c r="E3" s="1" t="s">
        <v>236</v>
      </c>
      <c r="J3" s="27"/>
    </row>
    <row r="4" spans="1:10" x14ac:dyDescent="0.55000000000000004">
      <c r="A4" t="s">
        <v>153</v>
      </c>
      <c r="B4" s="8">
        <v>44264</v>
      </c>
      <c r="C4" s="9">
        <f t="shared" ref="C4:C12" ca="1" si="0">$B$1-B4</f>
        <v>120</v>
      </c>
      <c r="E4" t="str">
        <f t="shared" ref="E4:E24" ca="1" si="1">IF(C4="","yes","no")</f>
        <v>no</v>
      </c>
    </row>
    <row r="5" spans="1:10" x14ac:dyDescent="0.55000000000000004">
      <c r="A5" s="24" t="s">
        <v>156</v>
      </c>
      <c r="B5" s="8">
        <v>44264</v>
      </c>
      <c r="C5" s="9">
        <f t="shared" ca="1" si="0"/>
        <v>120</v>
      </c>
      <c r="E5" t="str">
        <f t="shared" ca="1" si="1"/>
        <v>no</v>
      </c>
    </row>
    <row r="6" spans="1:10" x14ac:dyDescent="0.55000000000000004">
      <c r="A6" t="s">
        <v>183</v>
      </c>
      <c r="B6" s="8">
        <v>44264</v>
      </c>
      <c r="C6" s="9">
        <f t="shared" ca="1" si="0"/>
        <v>120</v>
      </c>
      <c r="E6" t="str">
        <f t="shared" ca="1" si="1"/>
        <v>no</v>
      </c>
    </row>
    <row r="7" spans="1:10" x14ac:dyDescent="0.55000000000000004">
      <c r="A7" t="s">
        <v>234</v>
      </c>
      <c r="B7" s="8">
        <v>44268</v>
      </c>
      <c r="C7" s="9">
        <f t="shared" ca="1" si="0"/>
        <v>116</v>
      </c>
      <c r="E7" t="str">
        <f t="shared" ca="1" si="1"/>
        <v>no</v>
      </c>
    </row>
    <row r="8" spans="1:10" x14ac:dyDescent="0.55000000000000004">
      <c r="A8" t="s">
        <v>238</v>
      </c>
      <c r="B8" s="8">
        <v>44269</v>
      </c>
      <c r="C8" s="9">
        <f t="shared" ca="1" si="0"/>
        <v>115</v>
      </c>
      <c r="E8" t="str">
        <f t="shared" ca="1" si="1"/>
        <v>no</v>
      </c>
    </row>
    <row r="9" spans="1:10" x14ac:dyDescent="0.55000000000000004">
      <c r="A9" t="s">
        <v>311</v>
      </c>
      <c r="B9" s="8">
        <v>44270</v>
      </c>
      <c r="C9" s="9">
        <f t="shared" ca="1" si="0"/>
        <v>114</v>
      </c>
      <c r="E9" t="str">
        <f t="shared" ca="1" si="1"/>
        <v>no</v>
      </c>
    </row>
    <row r="10" spans="1:10" x14ac:dyDescent="0.55000000000000004">
      <c r="A10" t="s">
        <v>438</v>
      </c>
      <c r="B10" s="8">
        <v>44298</v>
      </c>
      <c r="C10" s="9">
        <f t="shared" ca="1" si="0"/>
        <v>86</v>
      </c>
      <c r="E10" t="str">
        <f t="shared" ca="1" si="1"/>
        <v>no</v>
      </c>
    </row>
    <row r="11" spans="1:10" x14ac:dyDescent="0.55000000000000004">
      <c r="A11" t="s">
        <v>452</v>
      </c>
      <c r="B11" s="8">
        <v>44308</v>
      </c>
      <c r="C11" s="9">
        <f t="shared" ca="1" si="0"/>
        <v>76</v>
      </c>
      <c r="E11" t="str">
        <f t="shared" ca="1" si="1"/>
        <v>no</v>
      </c>
    </row>
    <row r="12" spans="1:10" x14ac:dyDescent="0.55000000000000004">
      <c r="A12" t="s">
        <v>490</v>
      </c>
      <c r="B12" s="8">
        <v>44314</v>
      </c>
      <c r="C12" s="9">
        <f t="shared" ca="1" si="0"/>
        <v>70</v>
      </c>
      <c r="E12" t="str">
        <f t="shared" ca="1" si="1"/>
        <v>no</v>
      </c>
    </row>
    <row r="13" spans="1:10" x14ac:dyDescent="0.55000000000000004">
      <c r="A13" t="s">
        <v>407</v>
      </c>
      <c r="B13" s="8">
        <v>44286</v>
      </c>
      <c r="C13" s="9"/>
      <c r="D13">
        <v>26</v>
      </c>
      <c r="E13" t="str">
        <f t="shared" si="1"/>
        <v>yes</v>
      </c>
    </row>
    <row r="14" spans="1:10" x14ac:dyDescent="0.55000000000000004">
      <c r="A14" t="s">
        <v>453</v>
      </c>
      <c r="B14" s="8">
        <v>44308</v>
      </c>
      <c r="C14" s="9"/>
      <c r="D14">
        <v>5</v>
      </c>
      <c r="E14" t="str">
        <f t="shared" si="1"/>
        <v>yes</v>
      </c>
    </row>
    <row r="15" spans="1:10" x14ac:dyDescent="0.55000000000000004">
      <c r="A15" t="s">
        <v>446</v>
      </c>
      <c r="B15" s="8">
        <v>44305</v>
      </c>
      <c r="C15" s="9"/>
      <c r="D15">
        <v>2</v>
      </c>
      <c r="E15" t="str">
        <f t="shared" si="1"/>
        <v>yes</v>
      </c>
    </row>
    <row r="16" spans="1:10" x14ac:dyDescent="0.55000000000000004">
      <c r="A16" t="s">
        <v>447</v>
      </c>
      <c r="B16" s="8">
        <v>44305</v>
      </c>
      <c r="C16" s="9"/>
      <c r="D16">
        <v>2</v>
      </c>
      <c r="E16" t="str">
        <f t="shared" si="1"/>
        <v>yes</v>
      </c>
    </row>
    <row r="17" spans="1:5" x14ac:dyDescent="0.55000000000000004">
      <c r="A17" t="s">
        <v>155</v>
      </c>
      <c r="B17" s="8">
        <v>44264</v>
      </c>
      <c r="C17" s="9"/>
      <c r="D17" s="9">
        <f ca="1">$B$1-B17</f>
        <v>120</v>
      </c>
      <c r="E17" t="str">
        <f t="shared" si="1"/>
        <v>yes</v>
      </c>
    </row>
    <row r="18" spans="1:5" x14ac:dyDescent="0.55000000000000004">
      <c r="A18" t="s">
        <v>309</v>
      </c>
      <c r="B18" s="8">
        <v>44273</v>
      </c>
      <c r="C18" s="9"/>
      <c r="D18">
        <v>13</v>
      </c>
      <c r="E18" t="str">
        <f t="shared" si="1"/>
        <v>yes</v>
      </c>
    </row>
    <row r="19" spans="1:5" x14ac:dyDescent="0.55000000000000004">
      <c r="A19" t="s">
        <v>310</v>
      </c>
      <c r="B19" s="8">
        <v>44264</v>
      </c>
      <c r="C19" s="9"/>
      <c r="D19">
        <v>22</v>
      </c>
      <c r="E19" t="str">
        <f t="shared" si="1"/>
        <v>yes</v>
      </c>
    </row>
    <row r="20" spans="1:5" x14ac:dyDescent="0.55000000000000004">
      <c r="A20" s="24" t="s">
        <v>154</v>
      </c>
      <c r="B20" s="8">
        <v>44264</v>
      </c>
      <c r="C20" s="9"/>
      <c r="D20" s="25">
        <f ca="1">$B$1-B20</f>
        <v>120</v>
      </c>
      <c r="E20" t="str">
        <f t="shared" si="1"/>
        <v>yes</v>
      </c>
    </row>
    <row r="21" spans="1:5" x14ac:dyDescent="0.55000000000000004">
      <c r="A21" t="s">
        <v>237</v>
      </c>
      <c r="B21" s="8">
        <v>44270</v>
      </c>
      <c r="C21" s="9"/>
      <c r="D21" s="9">
        <f ca="1">$B$1-B21</f>
        <v>114</v>
      </c>
      <c r="E21" t="str">
        <f t="shared" si="1"/>
        <v>yes</v>
      </c>
    </row>
    <row r="22" spans="1:5" x14ac:dyDescent="0.55000000000000004">
      <c r="A22" t="s">
        <v>159</v>
      </c>
      <c r="B22" s="8">
        <v>44264</v>
      </c>
      <c r="C22" s="9"/>
      <c r="D22">
        <v>3</v>
      </c>
      <c r="E22" t="str">
        <f t="shared" si="1"/>
        <v>yes</v>
      </c>
    </row>
    <row r="23" spans="1:5" x14ac:dyDescent="0.55000000000000004">
      <c r="A23" t="s">
        <v>184</v>
      </c>
      <c r="B23" s="8">
        <v>44264</v>
      </c>
      <c r="C23" s="9"/>
      <c r="D23">
        <v>3</v>
      </c>
      <c r="E23" t="str">
        <f t="shared" si="1"/>
        <v>yes</v>
      </c>
    </row>
    <row r="24" spans="1:5" x14ac:dyDescent="0.55000000000000004">
      <c r="A24" t="s">
        <v>204</v>
      </c>
      <c r="B24" s="8">
        <v>44267</v>
      </c>
      <c r="C24" s="9"/>
      <c r="D24">
        <v>0</v>
      </c>
      <c r="E24" t="str">
        <f t="shared" si="1"/>
        <v>yes</v>
      </c>
    </row>
  </sheetData>
  <conditionalFormatting sqref="E4:E24">
    <cfRule type="containsText" dxfId="16" priority="1" operator="containsText" text="yes">
      <formula>NOT(ISERROR(SEARCH("yes",E4)))</formula>
    </cfRule>
    <cfRule type="containsText" dxfId="15" priority="2" operator="containsText" text="no">
      <formula>NOT(ISERROR(SEARCH("no",E4)))</formula>
    </cfRule>
  </conditionalFormatting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E0CE-DF81-4C5F-85B2-AD4A2A2BDC69}">
  <dimension ref="A1:H30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RowHeight="14.4" x14ac:dyDescent="0.55000000000000004"/>
  <cols>
    <col min="1" max="1" width="39.578125" bestFit="1" customWidth="1"/>
    <col min="2" max="2" width="18.68359375" bestFit="1" customWidth="1"/>
    <col min="3" max="3" width="18.9453125" bestFit="1" customWidth="1"/>
    <col min="4" max="4" width="14.734375" bestFit="1" customWidth="1"/>
    <col min="5" max="5" width="24" bestFit="1" customWidth="1"/>
    <col min="6" max="6" width="43.15625" bestFit="1" customWidth="1"/>
    <col min="8" max="8" width="47.05078125" customWidth="1"/>
  </cols>
  <sheetData>
    <row r="1" spans="1:8" x14ac:dyDescent="0.55000000000000004">
      <c r="A1" s="1" t="s">
        <v>47</v>
      </c>
      <c r="B1" s="1" t="s">
        <v>124</v>
      </c>
      <c r="C1" s="1" t="s">
        <v>209</v>
      </c>
      <c r="D1" s="1" t="s">
        <v>57</v>
      </c>
      <c r="E1" s="1" t="s">
        <v>56</v>
      </c>
      <c r="F1" s="1" t="s">
        <v>48</v>
      </c>
      <c r="G1" s="1" t="s">
        <v>51</v>
      </c>
      <c r="H1" s="1" t="s">
        <v>88</v>
      </c>
    </row>
    <row r="2" spans="1:8" x14ac:dyDescent="0.55000000000000004">
      <c r="A2" t="s">
        <v>119</v>
      </c>
      <c r="B2" t="s">
        <v>125</v>
      </c>
      <c r="C2" t="s">
        <v>213</v>
      </c>
      <c r="D2" t="s">
        <v>120</v>
      </c>
      <c r="E2" t="s">
        <v>121</v>
      </c>
      <c r="G2" t="s">
        <v>54</v>
      </c>
    </row>
    <row r="3" spans="1:8" x14ac:dyDescent="0.55000000000000004">
      <c r="A3" t="s">
        <v>100</v>
      </c>
      <c r="B3" t="s">
        <v>125</v>
      </c>
      <c r="C3" t="s">
        <v>214</v>
      </c>
      <c r="D3" t="s">
        <v>58</v>
      </c>
      <c r="E3" t="s">
        <v>101</v>
      </c>
      <c r="G3" t="s">
        <v>54</v>
      </c>
      <c r="H3" t="s">
        <v>133</v>
      </c>
    </row>
    <row r="4" spans="1:8" x14ac:dyDescent="0.55000000000000004">
      <c r="A4" t="s">
        <v>134</v>
      </c>
      <c r="B4" t="s">
        <v>125</v>
      </c>
      <c r="C4" t="s">
        <v>212</v>
      </c>
      <c r="D4" t="s">
        <v>58</v>
      </c>
      <c r="G4" t="s">
        <v>52</v>
      </c>
      <c r="H4" t="s">
        <v>135</v>
      </c>
    </row>
    <row r="5" spans="1:8" x14ac:dyDescent="0.55000000000000004">
      <c r="A5" t="s">
        <v>312</v>
      </c>
      <c r="B5" t="s">
        <v>125</v>
      </c>
      <c r="C5" t="s">
        <v>313</v>
      </c>
      <c r="D5" t="s">
        <v>58</v>
      </c>
      <c r="E5" t="s">
        <v>314</v>
      </c>
      <c r="F5" t="s">
        <v>315</v>
      </c>
      <c r="G5" t="s">
        <v>54</v>
      </c>
      <c r="H5" t="s">
        <v>316</v>
      </c>
    </row>
    <row r="6" spans="1:8" x14ac:dyDescent="0.55000000000000004">
      <c r="A6" t="s">
        <v>398</v>
      </c>
      <c r="B6" t="s">
        <v>125</v>
      </c>
      <c r="C6" t="s">
        <v>397</v>
      </c>
      <c r="D6" t="s">
        <v>58</v>
      </c>
      <c r="E6" t="s">
        <v>396</v>
      </c>
      <c r="F6" t="s">
        <v>395</v>
      </c>
      <c r="G6" t="s">
        <v>52</v>
      </c>
      <c r="H6" t="s">
        <v>411</v>
      </c>
    </row>
    <row r="7" spans="1:8" x14ac:dyDescent="0.55000000000000004">
      <c r="A7" t="s">
        <v>107</v>
      </c>
      <c r="B7" t="s">
        <v>125</v>
      </c>
      <c r="C7" t="s">
        <v>514</v>
      </c>
      <c r="D7" t="s">
        <v>58</v>
      </c>
      <c r="E7" t="s">
        <v>108</v>
      </c>
      <c r="F7" t="s">
        <v>501</v>
      </c>
      <c r="G7" t="s">
        <v>52</v>
      </c>
    </row>
    <row r="14" spans="1:8" x14ac:dyDescent="0.55000000000000004">
      <c r="A14" s="6"/>
      <c r="B14" s="6"/>
      <c r="C14" s="6"/>
    </row>
    <row r="15" spans="1:8" x14ac:dyDescent="0.55000000000000004">
      <c r="A15" s="6"/>
      <c r="B15" s="6"/>
      <c r="C15" s="6"/>
    </row>
    <row r="23" spans="6:6" x14ac:dyDescent="0.55000000000000004">
      <c r="F23" s="5"/>
    </row>
    <row r="30" spans="6:6" x14ac:dyDescent="0.55000000000000004">
      <c r="F30" s="5"/>
    </row>
  </sheetData>
  <conditionalFormatting sqref="G2 G4:G5 G8:G1048576">
    <cfRule type="containsText" dxfId="11" priority="7" operator="containsText" text="no">
      <formula>NOT(ISERROR(SEARCH("no",G2)))</formula>
    </cfRule>
    <cfRule type="containsText" dxfId="10" priority="8" operator="containsText" text="yes">
      <formula>NOT(ISERROR(SEARCH("yes",G2)))</formula>
    </cfRule>
  </conditionalFormatting>
  <conditionalFormatting sqref="G3">
    <cfRule type="containsText" dxfId="9" priority="5" operator="containsText" text="no">
      <formula>NOT(ISERROR(SEARCH("no",G3)))</formula>
    </cfRule>
    <cfRule type="containsText" dxfId="8" priority="6" operator="containsText" text="yes">
      <formula>NOT(ISERROR(SEARCH("yes",G3)))</formula>
    </cfRule>
  </conditionalFormatting>
  <conditionalFormatting sqref="G6">
    <cfRule type="containsText" dxfId="7" priority="3" operator="containsText" text="no">
      <formula>NOT(ISERROR(SEARCH("no",G6)))</formula>
    </cfRule>
    <cfRule type="containsText" dxfId="6" priority="4" operator="containsText" text="yes">
      <formula>NOT(ISERROR(SEARCH("yes",G6)))</formula>
    </cfRule>
  </conditionalFormatting>
  <conditionalFormatting sqref="G7">
    <cfRule type="containsText" dxfId="5" priority="1" operator="containsText" text="no">
      <formula>NOT(ISERROR(SEARCH("no",G7)))</formula>
    </cfRule>
    <cfRule type="containsText" dxfId="4" priority="2" operator="containsText" text="yes">
      <formula>NOT(ISERROR(SEARCH("yes",G7)))</formula>
    </cfRule>
  </conditionalFormatting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C900-D021-4F7B-83BA-3BB728BC7776}">
  <dimension ref="A1:H43"/>
  <sheetViews>
    <sheetView zoomScale="90" zoomScaleNormal="90" workbookViewId="0">
      <pane xSplit="1" ySplit="1" topLeftCell="B25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4" x14ac:dyDescent="0.55000000000000004"/>
  <cols>
    <col min="1" max="1" width="39.578125" bestFit="1" customWidth="1"/>
    <col min="2" max="2" width="18.68359375" bestFit="1" customWidth="1"/>
    <col min="3" max="3" width="18.68359375" customWidth="1"/>
    <col min="4" max="4" width="17.26171875" bestFit="1" customWidth="1"/>
    <col min="5" max="5" width="24" bestFit="1" customWidth="1"/>
    <col min="6" max="6" width="55.7890625" customWidth="1"/>
    <col min="8" max="8" width="36.5234375" customWidth="1"/>
  </cols>
  <sheetData>
    <row r="1" spans="1:8" x14ac:dyDescent="0.55000000000000004">
      <c r="A1" s="1" t="s">
        <v>47</v>
      </c>
      <c r="B1" s="1" t="s">
        <v>124</v>
      </c>
      <c r="C1" s="1" t="s">
        <v>209</v>
      </c>
      <c r="D1" s="1" t="s">
        <v>57</v>
      </c>
      <c r="E1" s="1" t="s">
        <v>56</v>
      </c>
      <c r="F1" s="1" t="s">
        <v>48</v>
      </c>
      <c r="G1" s="1" t="s">
        <v>51</v>
      </c>
      <c r="H1" s="1" t="s">
        <v>88</v>
      </c>
    </row>
    <row r="2" spans="1:8" x14ac:dyDescent="0.55000000000000004">
      <c r="A2" t="s">
        <v>91</v>
      </c>
      <c r="E2" t="s">
        <v>92</v>
      </c>
    </row>
    <row r="3" spans="1:8" x14ac:dyDescent="0.55000000000000004">
      <c r="A3" t="s">
        <v>79</v>
      </c>
      <c r="D3" t="s">
        <v>58</v>
      </c>
      <c r="E3" t="s">
        <v>81</v>
      </c>
      <c r="F3" t="s">
        <v>80</v>
      </c>
      <c r="G3" t="s">
        <v>54</v>
      </c>
    </row>
    <row r="4" spans="1:8" x14ac:dyDescent="0.55000000000000004">
      <c r="A4" t="s">
        <v>93</v>
      </c>
      <c r="C4" s="15"/>
      <c r="E4" t="s">
        <v>94</v>
      </c>
    </row>
    <row r="5" spans="1:8" x14ac:dyDescent="0.55000000000000004">
      <c r="A5" t="s">
        <v>89</v>
      </c>
      <c r="C5" s="15"/>
      <c r="D5" t="s">
        <v>58</v>
      </c>
      <c r="F5" s="5" t="s">
        <v>90</v>
      </c>
      <c r="G5" t="s">
        <v>54</v>
      </c>
    </row>
    <row r="6" spans="1:8" x14ac:dyDescent="0.55000000000000004">
      <c r="A6" t="s">
        <v>50</v>
      </c>
      <c r="G6" t="s">
        <v>52</v>
      </c>
    </row>
    <row r="7" spans="1:8" x14ac:dyDescent="0.55000000000000004">
      <c r="A7" t="s">
        <v>139</v>
      </c>
      <c r="D7" t="s">
        <v>58</v>
      </c>
      <c r="G7" t="s">
        <v>54</v>
      </c>
    </row>
    <row r="8" spans="1:8" x14ac:dyDescent="0.55000000000000004">
      <c r="A8" t="s">
        <v>98</v>
      </c>
      <c r="E8" t="s">
        <v>99</v>
      </c>
    </row>
    <row r="9" spans="1:8" x14ac:dyDescent="0.55000000000000004">
      <c r="A9" t="s">
        <v>82</v>
      </c>
      <c r="D9" t="s">
        <v>58</v>
      </c>
      <c r="G9" t="s">
        <v>54</v>
      </c>
    </row>
    <row r="10" spans="1:8" x14ac:dyDescent="0.55000000000000004">
      <c r="A10" t="s">
        <v>63</v>
      </c>
      <c r="E10" t="s">
        <v>64</v>
      </c>
    </row>
    <row r="11" spans="1:8" x14ac:dyDescent="0.55000000000000004">
      <c r="A11" t="s">
        <v>73</v>
      </c>
      <c r="D11" t="s">
        <v>67</v>
      </c>
      <c r="E11" t="s">
        <v>74</v>
      </c>
      <c r="F11" t="s">
        <v>75</v>
      </c>
      <c r="G11" t="s">
        <v>52</v>
      </c>
    </row>
    <row r="12" spans="1:8" ht="28.8" x14ac:dyDescent="0.55000000000000004">
      <c r="A12" t="s">
        <v>76</v>
      </c>
      <c r="D12" t="s">
        <v>58</v>
      </c>
      <c r="E12" t="s">
        <v>78</v>
      </c>
      <c r="F12" s="7" t="s">
        <v>77</v>
      </c>
      <c r="G12" t="s">
        <v>54</v>
      </c>
    </row>
    <row r="13" spans="1:8" x14ac:dyDescent="0.55000000000000004">
      <c r="A13" t="s">
        <v>449</v>
      </c>
      <c r="D13" t="s">
        <v>450</v>
      </c>
      <c r="E13" t="s">
        <v>451</v>
      </c>
      <c r="F13" t="s">
        <v>448</v>
      </c>
      <c r="G13" t="s">
        <v>52</v>
      </c>
    </row>
    <row r="14" spans="1:8" x14ac:dyDescent="0.55000000000000004">
      <c r="A14" t="s">
        <v>258</v>
      </c>
      <c r="C14" t="s">
        <v>212</v>
      </c>
      <c r="D14" t="s">
        <v>58</v>
      </c>
      <c r="E14" t="s">
        <v>257</v>
      </c>
      <c r="F14" t="s">
        <v>256</v>
      </c>
      <c r="G14" t="s">
        <v>52</v>
      </c>
    </row>
    <row r="15" spans="1:8" x14ac:dyDescent="0.55000000000000004">
      <c r="A15" t="s">
        <v>102</v>
      </c>
    </row>
    <row r="16" spans="1:8" x14ac:dyDescent="0.55000000000000004">
      <c r="A16" t="s">
        <v>105</v>
      </c>
      <c r="D16" t="s">
        <v>58</v>
      </c>
      <c r="E16" t="s">
        <v>106</v>
      </c>
    </row>
    <row r="17" spans="1:7" ht="28.8" x14ac:dyDescent="0.55000000000000004">
      <c r="A17" s="6" t="s">
        <v>122</v>
      </c>
      <c r="B17" s="6"/>
      <c r="C17" s="6"/>
      <c r="D17" t="s">
        <v>58</v>
      </c>
      <c r="E17" t="s">
        <v>123</v>
      </c>
      <c r="G17" t="s">
        <v>54</v>
      </c>
    </row>
    <row r="18" spans="1:7" x14ac:dyDescent="0.55000000000000004">
      <c r="A18" t="s">
        <v>109</v>
      </c>
      <c r="D18" t="s">
        <v>67</v>
      </c>
      <c r="E18" t="s">
        <v>110</v>
      </c>
      <c r="F18" t="s">
        <v>111</v>
      </c>
      <c r="G18" t="s">
        <v>52</v>
      </c>
    </row>
    <row r="19" spans="1:7" x14ac:dyDescent="0.55000000000000004">
      <c r="A19" t="s">
        <v>61</v>
      </c>
      <c r="E19" t="s">
        <v>62</v>
      </c>
    </row>
    <row r="20" spans="1:7" x14ac:dyDescent="0.55000000000000004">
      <c r="A20" t="s">
        <v>103</v>
      </c>
      <c r="D20" t="s">
        <v>58</v>
      </c>
      <c r="E20" t="s">
        <v>104</v>
      </c>
    </row>
    <row r="21" spans="1:7" x14ac:dyDescent="0.55000000000000004">
      <c r="A21" t="s">
        <v>86</v>
      </c>
      <c r="D21" t="s">
        <v>58</v>
      </c>
      <c r="G21" t="s">
        <v>52</v>
      </c>
    </row>
    <row r="22" spans="1:7" ht="28.8" x14ac:dyDescent="0.55000000000000004">
      <c r="A22" s="6" t="s">
        <v>130</v>
      </c>
      <c r="D22" t="s">
        <v>58</v>
      </c>
      <c r="E22" t="s">
        <v>132</v>
      </c>
      <c r="F22" s="7" t="s">
        <v>131</v>
      </c>
      <c r="G22" t="s">
        <v>52</v>
      </c>
    </row>
    <row r="23" spans="1:7" x14ac:dyDescent="0.55000000000000004">
      <c r="A23" t="s">
        <v>138</v>
      </c>
      <c r="D23" t="s">
        <v>58</v>
      </c>
      <c r="G23" t="s">
        <v>54</v>
      </c>
    </row>
    <row r="24" spans="1:7" ht="28.8" x14ac:dyDescent="0.55000000000000004">
      <c r="A24" s="6" t="s">
        <v>136</v>
      </c>
      <c r="D24" t="s">
        <v>58</v>
      </c>
      <c r="E24" t="s">
        <v>137</v>
      </c>
      <c r="G24" t="s">
        <v>54</v>
      </c>
    </row>
    <row r="25" spans="1:7" ht="28.8" x14ac:dyDescent="0.55000000000000004">
      <c r="A25" s="6" t="s">
        <v>126</v>
      </c>
      <c r="E25" t="s">
        <v>97</v>
      </c>
    </row>
    <row r="26" spans="1:7" ht="28.8" x14ac:dyDescent="0.55000000000000004">
      <c r="A26" s="6" t="s">
        <v>117</v>
      </c>
      <c r="B26" s="6"/>
      <c r="C26" s="6"/>
      <c r="D26" t="s">
        <v>58</v>
      </c>
      <c r="E26" t="s">
        <v>118</v>
      </c>
      <c r="G26" t="s">
        <v>54</v>
      </c>
    </row>
    <row r="27" spans="1:7" ht="28.8" x14ac:dyDescent="0.55000000000000004">
      <c r="A27" s="6" t="s">
        <v>83</v>
      </c>
      <c r="B27" s="6"/>
      <c r="C27" s="6"/>
      <c r="D27" t="s">
        <v>67</v>
      </c>
      <c r="E27" t="s">
        <v>84</v>
      </c>
      <c r="F27" t="s">
        <v>85</v>
      </c>
      <c r="G27" t="s">
        <v>52</v>
      </c>
    </row>
    <row r="28" spans="1:7" x14ac:dyDescent="0.55000000000000004">
      <c r="A28" t="s">
        <v>87</v>
      </c>
      <c r="C28" t="s">
        <v>212</v>
      </c>
      <c r="D28" t="s">
        <v>58</v>
      </c>
      <c r="G28" t="s">
        <v>52</v>
      </c>
    </row>
    <row r="29" spans="1:7" x14ac:dyDescent="0.55000000000000004">
      <c r="A29" t="s">
        <v>66</v>
      </c>
      <c r="D29" t="s">
        <v>67</v>
      </c>
      <c r="F29" t="s">
        <v>65</v>
      </c>
      <c r="G29" t="s">
        <v>52</v>
      </c>
    </row>
    <row r="30" spans="1:7" x14ac:dyDescent="0.55000000000000004">
      <c r="A30" t="s">
        <v>112</v>
      </c>
      <c r="C30" t="s">
        <v>211</v>
      </c>
      <c r="E30" t="s">
        <v>113</v>
      </c>
      <c r="F30" t="s">
        <v>528</v>
      </c>
      <c r="G30" t="s">
        <v>52</v>
      </c>
    </row>
    <row r="31" spans="1:7" ht="28.8" x14ac:dyDescent="0.55000000000000004">
      <c r="A31" s="6" t="s">
        <v>193</v>
      </c>
      <c r="D31" t="s">
        <v>58</v>
      </c>
      <c r="E31" t="s">
        <v>194</v>
      </c>
      <c r="G31" t="s">
        <v>54</v>
      </c>
    </row>
    <row r="32" spans="1:7" x14ac:dyDescent="0.55000000000000004">
      <c r="A32" t="s">
        <v>115</v>
      </c>
      <c r="D32" t="s">
        <v>67</v>
      </c>
      <c r="E32" t="s">
        <v>116</v>
      </c>
      <c r="F32" t="s">
        <v>114</v>
      </c>
      <c r="G32" t="s">
        <v>52</v>
      </c>
    </row>
    <row r="33" spans="1:8" ht="28.8" x14ac:dyDescent="0.55000000000000004">
      <c r="A33" s="6" t="s">
        <v>206</v>
      </c>
      <c r="C33" s="21" t="s">
        <v>208</v>
      </c>
      <c r="D33" t="s">
        <v>58</v>
      </c>
      <c r="E33" t="s">
        <v>207</v>
      </c>
      <c r="F33" t="s">
        <v>205</v>
      </c>
      <c r="G33" t="s">
        <v>52</v>
      </c>
      <c r="H33" s="6" t="s">
        <v>210</v>
      </c>
    </row>
    <row r="34" spans="1:8" x14ac:dyDescent="0.55000000000000004">
      <c r="A34" t="s">
        <v>70</v>
      </c>
      <c r="C34" t="s">
        <v>397</v>
      </c>
    </row>
    <row r="35" spans="1:8" x14ac:dyDescent="0.55000000000000004">
      <c r="A35" t="s">
        <v>68</v>
      </c>
      <c r="E35" t="s">
        <v>69</v>
      </c>
    </row>
    <row r="36" spans="1:8" x14ac:dyDescent="0.55000000000000004">
      <c r="A36" t="s">
        <v>71</v>
      </c>
      <c r="E36" t="s">
        <v>72</v>
      </c>
    </row>
    <row r="37" spans="1:8" x14ac:dyDescent="0.55000000000000004">
      <c r="A37" t="s">
        <v>49</v>
      </c>
      <c r="D37" t="s">
        <v>58</v>
      </c>
      <c r="E37" t="s">
        <v>95</v>
      </c>
    </row>
    <row r="38" spans="1:8" x14ac:dyDescent="0.55000000000000004">
      <c r="A38" t="s">
        <v>127</v>
      </c>
      <c r="E38" t="s">
        <v>128</v>
      </c>
    </row>
    <row r="39" spans="1:8" x14ac:dyDescent="0.55000000000000004">
      <c r="A39" t="s">
        <v>96</v>
      </c>
      <c r="D39" t="s">
        <v>58</v>
      </c>
      <c r="E39" t="s">
        <v>84</v>
      </c>
      <c r="G39" t="s">
        <v>54</v>
      </c>
    </row>
    <row r="40" spans="1:8" x14ac:dyDescent="0.55000000000000004">
      <c r="A40" t="s">
        <v>53</v>
      </c>
      <c r="C40" s="22"/>
      <c r="D40" t="s">
        <v>58</v>
      </c>
      <c r="E40" t="s">
        <v>55</v>
      </c>
      <c r="G40" t="s">
        <v>54</v>
      </c>
    </row>
    <row r="41" spans="1:8" x14ac:dyDescent="0.55000000000000004">
      <c r="A41" t="s">
        <v>59</v>
      </c>
      <c r="E41" t="s">
        <v>60</v>
      </c>
    </row>
    <row r="42" spans="1:8" x14ac:dyDescent="0.55000000000000004">
      <c r="A42" t="s">
        <v>197</v>
      </c>
      <c r="C42" s="15"/>
      <c r="D42" t="s">
        <v>196</v>
      </c>
      <c r="F42" t="s">
        <v>195</v>
      </c>
    </row>
    <row r="43" spans="1:8" x14ac:dyDescent="0.55000000000000004">
      <c r="A43" t="s">
        <v>129</v>
      </c>
    </row>
  </sheetData>
  <conditionalFormatting sqref="G42:G1048576 G2:G40">
    <cfRule type="containsText" dxfId="2" priority="1" operator="containsText" text="no">
      <formula>NOT(ISERROR(SEARCH("no",G2)))</formula>
    </cfRule>
    <cfRule type="containsText" dxfId="1" priority="2" operator="containsText" text="yes">
      <formula>NOT(ISERROR(SEARCH("yes",G2)))</formula>
    </cfRule>
  </conditionalFormatting>
  <hyperlinks>
    <hyperlink ref="F5" r:id="rId1" xr:uid="{EE829D5D-A743-4E0A-BBD3-C0320DE5D426}"/>
    <hyperlink ref="F22" r:id="rId2" display="https://millengustavo.github.io/intro-ml-python/" xr:uid="{5CF133BE-3391-4DFE-B691-605704735597}"/>
  </hyperlinks>
  <pageMargins left="0.7" right="0.7" top="0.75" bottom="0.75" header="0.3" footer="0.3"/>
  <pageSetup orientation="portrait" horizontalDpi="4294967293" verticalDpi="0"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A57E-2407-44FE-AB7A-2DBAA89ED678}">
  <dimension ref="A1:J670"/>
  <sheetViews>
    <sheetView zoomScaleNormal="100" workbookViewId="0">
      <pane ySplit="1" topLeftCell="A73" activePane="bottomLeft" state="frozen"/>
      <selection pane="bottomLeft" activeCell="B94" sqref="B94"/>
    </sheetView>
  </sheetViews>
  <sheetFormatPr defaultRowHeight="14.4" x14ac:dyDescent="0.55000000000000004"/>
  <cols>
    <col min="1" max="1" width="12.83984375" customWidth="1"/>
    <col min="2" max="2" width="13.734375" bestFit="1" customWidth="1"/>
    <col min="3" max="3" width="11.41796875" customWidth="1"/>
    <col min="4" max="4" width="11.05078125" bestFit="1" customWidth="1"/>
    <col min="5" max="5" width="16.68359375" bestFit="1" customWidth="1"/>
    <col min="6" max="6" width="41.5234375" bestFit="1" customWidth="1"/>
    <col min="7" max="7" width="10.62890625" customWidth="1"/>
    <col min="8" max="8" width="14.1015625" customWidth="1"/>
    <col min="9" max="9" width="15" customWidth="1"/>
  </cols>
  <sheetData>
    <row r="1" spans="1:10" ht="28.8" x14ac:dyDescent="0.55000000000000004">
      <c r="A1" s="1" t="s">
        <v>165</v>
      </c>
      <c r="B1" s="1" t="s">
        <v>162</v>
      </c>
      <c r="C1" s="1" t="s">
        <v>166</v>
      </c>
      <c r="D1" s="1" t="s">
        <v>163</v>
      </c>
      <c r="E1" s="1" t="s">
        <v>167</v>
      </c>
      <c r="F1" s="1" t="s">
        <v>168</v>
      </c>
      <c r="G1" s="13" t="s">
        <v>164</v>
      </c>
      <c r="H1" s="13" t="s">
        <v>169</v>
      </c>
      <c r="I1" s="13" t="s">
        <v>170</v>
      </c>
      <c r="J1" s="1" t="s">
        <v>175</v>
      </c>
    </row>
    <row r="2" spans="1:10" x14ac:dyDescent="0.55000000000000004">
      <c r="A2" s="8">
        <v>44264</v>
      </c>
      <c r="B2" t="s">
        <v>174</v>
      </c>
      <c r="C2">
        <v>1</v>
      </c>
      <c r="D2">
        <v>1</v>
      </c>
      <c r="F2" t="s">
        <v>173</v>
      </c>
      <c r="G2">
        <v>1</v>
      </c>
      <c r="H2">
        <v>1</v>
      </c>
      <c r="I2" s="9">
        <f>( A2-DATE(2021,3,8) )*3</f>
        <v>3</v>
      </c>
      <c r="J2" t="s">
        <v>181</v>
      </c>
    </row>
    <row r="3" spans="1:10" x14ac:dyDescent="0.55000000000000004">
      <c r="A3" s="8">
        <v>44264</v>
      </c>
      <c r="B3" t="s">
        <v>171</v>
      </c>
      <c r="C3">
        <v>1</v>
      </c>
      <c r="D3">
        <v>2</v>
      </c>
      <c r="F3" t="s">
        <v>173</v>
      </c>
      <c r="G3">
        <f>G2+1</f>
        <v>2</v>
      </c>
      <c r="H3">
        <v>2</v>
      </c>
      <c r="I3" s="9">
        <f t="shared" ref="I3:I66" si="0">( A3-DATE(2021,3,8) )*3</f>
        <v>3</v>
      </c>
      <c r="J3" t="s">
        <v>181</v>
      </c>
    </row>
    <row r="4" spans="1:10" s="17" customFormat="1" x14ac:dyDescent="0.55000000000000004">
      <c r="A4" s="28">
        <v>44264</v>
      </c>
      <c r="B4" s="17" t="s">
        <v>172</v>
      </c>
      <c r="C4" s="17">
        <v>1</v>
      </c>
      <c r="D4" s="17">
        <v>3</v>
      </c>
      <c r="E4" s="17" t="s">
        <v>182</v>
      </c>
      <c r="F4" s="17" t="s">
        <v>173</v>
      </c>
      <c r="G4" s="17">
        <f t="shared" ref="G4:G11" si="1">G3+1</f>
        <v>3</v>
      </c>
      <c r="H4" s="17">
        <v>3</v>
      </c>
      <c r="I4" s="29">
        <f t="shared" si="0"/>
        <v>3</v>
      </c>
      <c r="J4" s="17" t="s">
        <v>181</v>
      </c>
    </row>
    <row r="5" spans="1:10" x14ac:dyDescent="0.55000000000000004">
      <c r="A5" s="8">
        <v>44265</v>
      </c>
      <c r="B5" t="s">
        <v>176</v>
      </c>
      <c r="C5">
        <v>2</v>
      </c>
      <c r="D5">
        <v>1</v>
      </c>
      <c r="E5" t="s">
        <v>240</v>
      </c>
      <c r="F5" t="s">
        <v>179</v>
      </c>
      <c r="G5">
        <f t="shared" si="1"/>
        <v>4</v>
      </c>
      <c r="H5">
        <v>4</v>
      </c>
      <c r="I5" s="9">
        <f t="shared" si="0"/>
        <v>6</v>
      </c>
      <c r="J5" t="s">
        <v>180</v>
      </c>
    </row>
    <row r="6" spans="1:10" x14ac:dyDescent="0.55000000000000004">
      <c r="A6" s="8">
        <v>44265</v>
      </c>
      <c r="B6" t="s">
        <v>177</v>
      </c>
      <c r="C6">
        <v>2</v>
      </c>
      <c r="D6">
        <v>2</v>
      </c>
      <c r="E6" t="s">
        <v>241</v>
      </c>
      <c r="F6" t="s">
        <v>179</v>
      </c>
      <c r="G6">
        <f t="shared" si="1"/>
        <v>5</v>
      </c>
      <c r="H6">
        <v>5</v>
      </c>
      <c r="I6" s="9">
        <f t="shared" si="0"/>
        <v>6</v>
      </c>
      <c r="J6" t="s">
        <v>180</v>
      </c>
    </row>
    <row r="7" spans="1:10" s="17" customFormat="1" x14ac:dyDescent="0.55000000000000004">
      <c r="A7" s="16">
        <v>44265</v>
      </c>
      <c r="B7" s="17" t="s">
        <v>178</v>
      </c>
      <c r="C7" s="17">
        <v>2</v>
      </c>
      <c r="D7" s="17">
        <v>3</v>
      </c>
      <c r="E7" s="17" t="s">
        <v>242</v>
      </c>
      <c r="F7" s="17" t="s">
        <v>179</v>
      </c>
      <c r="G7" s="17">
        <f t="shared" si="1"/>
        <v>6</v>
      </c>
      <c r="H7" s="17">
        <v>6</v>
      </c>
      <c r="I7" s="29">
        <f t="shared" si="0"/>
        <v>6</v>
      </c>
      <c r="J7" s="17" t="s">
        <v>180</v>
      </c>
    </row>
    <row r="8" spans="1:10" x14ac:dyDescent="0.55000000000000004">
      <c r="A8" s="8">
        <f t="shared" ref="A8:A64" si="2">A7+1</f>
        <v>44266</v>
      </c>
      <c r="B8" t="s">
        <v>185</v>
      </c>
      <c r="C8">
        <v>3</v>
      </c>
      <c r="D8">
        <v>1</v>
      </c>
      <c r="E8" t="s">
        <v>190</v>
      </c>
      <c r="F8" t="s">
        <v>191</v>
      </c>
      <c r="G8">
        <f t="shared" si="1"/>
        <v>7</v>
      </c>
      <c r="H8">
        <v>7</v>
      </c>
      <c r="I8" s="9">
        <f t="shared" si="0"/>
        <v>9</v>
      </c>
      <c r="J8" t="s">
        <v>189</v>
      </c>
    </row>
    <row r="9" spans="1:10" x14ac:dyDescent="0.55000000000000004">
      <c r="A9" s="8">
        <v>44266</v>
      </c>
      <c r="B9" t="s">
        <v>186</v>
      </c>
      <c r="C9">
        <v>3</v>
      </c>
      <c r="D9">
        <v>2</v>
      </c>
      <c r="E9" t="s">
        <v>198</v>
      </c>
      <c r="F9" t="s">
        <v>191</v>
      </c>
      <c r="G9">
        <f t="shared" si="1"/>
        <v>8</v>
      </c>
      <c r="H9">
        <v>8</v>
      </c>
      <c r="I9" s="9">
        <f t="shared" si="0"/>
        <v>9</v>
      </c>
      <c r="J9" t="s">
        <v>189</v>
      </c>
    </row>
    <row r="10" spans="1:10" x14ac:dyDescent="0.55000000000000004">
      <c r="A10" s="8">
        <v>44266</v>
      </c>
      <c r="B10" t="s">
        <v>187</v>
      </c>
      <c r="C10">
        <v>3</v>
      </c>
      <c r="D10">
        <v>3</v>
      </c>
      <c r="E10" t="s">
        <v>199</v>
      </c>
      <c r="F10" t="s">
        <v>191</v>
      </c>
      <c r="G10">
        <f t="shared" si="1"/>
        <v>9</v>
      </c>
      <c r="H10">
        <v>9</v>
      </c>
      <c r="I10" s="9">
        <f t="shared" si="0"/>
        <v>9</v>
      </c>
      <c r="J10" t="s">
        <v>189</v>
      </c>
    </row>
    <row r="11" spans="1:10" s="17" customFormat="1" x14ac:dyDescent="0.55000000000000004">
      <c r="A11" s="16">
        <v>44266</v>
      </c>
      <c r="B11" s="17" t="s">
        <v>188</v>
      </c>
      <c r="C11" s="17">
        <v>3</v>
      </c>
      <c r="D11" s="17">
        <v>4</v>
      </c>
      <c r="E11" s="17" t="s">
        <v>200</v>
      </c>
      <c r="F11" s="17" t="s">
        <v>191</v>
      </c>
      <c r="G11" s="17">
        <f t="shared" si="1"/>
        <v>10</v>
      </c>
      <c r="H11" s="17">
        <v>10</v>
      </c>
      <c r="I11" s="29">
        <f t="shared" si="0"/>
        <v>9</v>
      </c>
      <c r="J11" s="17" t="s">
        <v>189</v>
      </c>
    </row>
    <row r="12" spans="1:10" s="15" customFormat="1" x14ac:dyDescent="0.55000000000000004">
      <c r="A12" s="14">
        <v>44267</v>
      </c>
      <c r="B12" s="15" t="s">
        <v>215</v>
      </c>
      <c r="C12" s="15">
        <v>4</v>
      </c>
      <c r="D12" s="15">
        <v>1</v>
      </c>
      <c r="E12" s="15" t="s">
        <v>223</v>
      </c>
      <c r="F12" s="15" t="s">
        <v>222</v>
      </c>
      <c r="G12" s="15">
        <v>11</v>
      </c>
      <c r="H12" s="15">
        <v>10</v>
      </c>
      <c r="I12" s="9">
        <f t="shared" si="0"/>
        <v>12</v>
      </c>
    </row>
    <row r="13" spans="1:10" s="15" customFormat="1" x14ac:dyDescent="0.55000000000000004">
      <c r="A13" s="14">
        <v>44267</v>
      </c>
      <c r="B13" s="15" t="s">
        <v>216</v>
      </c>
      <c r="C13" s="15">
        <v>4</v>
      </c>
      <c r="D13" s="15">
        <v>2</v>
      </c>
      <c r="E13" s="15" t="s">
        <v>224</v>
      </c>
      <c r="F13" s="15" t="s">
        <v>222</v>
      </c>
      <c r="G13" s="15">
        <v>12</v>
      </c>
      <c r="H13" s="15">
        <v>11</v>
      </c>
      <c r="I13" s="9">
        <f t="shared" si="0"/>
        <v>12</v>
      </c>
    </row>
    <row r="14" spans="1:10" s="15" customFormat="1" x14ac:dyDescent="0.55000000000000004">
      <c r="A14" s="14">
        <v>44267</v>
      </c>
      <c r="B14" s="15" t="s">
        <v>217</v>
      </c>
      <c r="C14" s="15">
        <v>4</v>
      </c>
      <c r="D14" s="15">
        <v>3</v>
      </c>
      <c r="E14" s="15" t="s">
        <v>225</v>
      </c>
      <c r="F14" s="15" t="s">
        <v>222</v>
      </c>
      <c r="G14" s="15">
        <v>13</v>
      </c>
      <c r="H14" s="15">
        <v>12</v>
      </c>
      <c r="I14" s="9">
        <f t="shared" si="0"/>
        <v>12</v>
      </c>
    </row>
    <row r="15" spans="1:10" s="15" customFormat="1" x14ac:dyDescent="0.55000000000000004">
      <c r="A15" s="14">
        <v>44267</v>
      </c>
      <c r="B15" s="15" t="s">
        <v>218</v>
      </c>
      <c r="C15" s="15">
        <v>4</v>
      </c>
      <c r="D15" s="15">
        <v>4</v>
      </c>
      <c r="E15" s="15" t="s">
        <v>220</v>
      </c>
      <c r="F15" s="15" t="s">
        <v>222</v>
      </c>
      <c r="G15" s="15">
        <v>14</v>
      </c>
      <c r="H15" s="15">
        <v>13</v>
      </c>
      <c r="I15" s="9">
        <f t="shared" si="0"/>
        <v>12</v>
      </c>
    </row>
    <row r="16" spans="1:10" s="17" customFormat="1" x14ac:dyDescent="0.55000000000000004">
      <c r="A16" s="16">
        <v>44267</v>
      </c>
      <c r="B16" s="17" t="s">
        <v>219</v>
      </c>
      <c r="C16" s="17">
        <v>4</v>
      </c>
      <c r="D16" s="17">
        <v>5</v>
      </c>
      <c r="E16" s="17" t="s">
        <v>221</v>
      </c>
      <c r="F16" s="17" t="s">
        <v>222</v>
      </c>
      <c r="G16" s="17">
        <v>15</v>
      </c>
      <c r="H16" s="17">
        <v>14</v>
      </c>
      <c r="I16" s="29">
        <f t="shared" si="0"/>
        <v>12</v>
      </c>
    </row>
    <row r="17" spans="1:10" s="15" customFormat="1" x14ac:dyDescent="0.55000000000000004">
      <c r="A17" s="14">
        <v>44268</v>
      </c>
      <c r="B17" s="15" t="s">
        <v>226</v>
      </c>
      <c r="C17" s="15">
        <v>5</v>
      </c>
      <c r="D17" s="15">
        <v>1</v>
      </c>
      <c r="E17" s="15" t="s">
        <v>230</v>
      </c>
      <c r="F17" s="15" t="s">
        <v>232</v>
      </c>
      <c r="G17" s="15">
        <v>16</v>
      </c>
      <c r="H17" s="15">
        <v>15</v>
      </c>
      <c r="I17" s="9">
        <f t="shared" si="0"/>
        <v>15</v>
      </c>
      <c r="J17" s="15" t="s">
        <v>233</v>
      </c>
    </row>
    <row r="18" spans="1:10" s="15" customFormat="1" x14ac:dyDescent="0.55000000000000004">
      <c r="A18" s="14">
        <v>44268</v>
      </c>
      <c r="B18" s="15" t="s">
        <v>227</v>
      </c>
      <c r="C18" s="15">
        <v>5</v>
      </c>
      <c r="D18" s="15">
        <v>2</v>
      </c>
      <c r="E18" s="15" t="s">
        <v>231</v>
      </c>
      <c r="F18" s="15" t="s">
        <v>232</v>
      </c>
      <c r="G18" s="15">
        <v>17</v>
      </c>
      <c r="H18" s="15">
        <v>16</v>
      </c>
      <c r="I18" s="9">
        <f t="shared" si="0"/>
        <v>15</v>
      </c>
      <c r="J18" s="15" t="s">
        <v>233</v>
      </c>
    </row>
    <row r="19" spans="1:10" s="17" customFormat="1" x14ac:dyDescent="0.55000000000000004">
      <c r="A19" s="16">
        <v>44268</v>
      </c>
      <c r="B19" s="17" t="s">
        <v>228</v>
      </c>
      <c r="C19" s="17">
        <v>5</v>
      </c>
      <c r="D19" s="17">
        <v>3</v>
      </c>
      <c r="E19" s="17" t="s">
        <v>229</v>
      </c>
      <c r="F19" s="17" t="s">
        <v>232</v>
      </c>
      <c r="G19" s="17">
        <v>18</v>
      </c>
      <c r="H19" s="17">
        <v>17</v>
      </c>
      <c r="I19" s="29">
        <f t="shared" si="0"/>
        <v>15</v>
      </c>
      <c r="J19" s="17" t="s">
        <v>233</v>
      </c>
    </row>
    <row r="20" spans="1:10" s="15" customFormat="1" x14ac:dyDescent="0.55000000000000004">
      <c r="A20" s="14">
        <v>44269</v>
      </c>
      <c r="B20" s="15" t="s">
        <v>243</v>
      </c>
      <c r="C20" s="15">
        <v>6</v>
      </c>
      <c r="D20" s="15">
        <v>1</v>
      </c>
      <c r="F20" s="15" t="s">
        <v>247</v>
      </c>
      <c r="G20" s="15">
        <f>G19+1</f>
        <v>19</v>
      </c>
      <c r="H20" s="15">
        <v>18</v>
      </c>
      <c r="I20" s="9">
        <f t="shared" si="0"/>
        <v>18</v>
      </c>
      <c r="J20" s="15" t="s">
        <v>233</v>
      </c>
    </row>
    <row r="21" spans="1:10" s="15" customFormat="1" x14ac:dyDescent="0.55000000000000004">
      <c r="A21" s="14">
        <v>44269</v>
      </c>
      <c r="B21" s="15" t="s">
        <v>244</v>
      </c>
      <c r="C21" s="15">
        <v>6</v>
      </c>
      <c r="D21" s="15">
        <v>2</v>
      </c>
      <c r="E21" s="20" t="s">
        <v>365</v>
      </c>
      <c r="F21" s="15" t="s">
        <v>247</v>
      </c>
      <c r="G21" s="15">
        <f t="shared" ref="G21:G23" si="3">G20+1</f>
        <v>20</v>
      </c>
      <c r="H21" s="15">
        <v>19</v>
      </c>
      <c r="I21" s="9">
        <f t="shared" si="0"/>
        <v>18</v>
      </c>
      <c r="J21" s="15" t="s">
        <v>233</v>
      </c>
    </row>
    <row r="22" spans="1:10" s="15" customFormat="1" x14ac:dyDescent="0.55000000000000004">
      <c r="A22" s="14">
        <v>44269</v>
      </c>
      <c r="B22" s="15" t="s">
        <v>245</v>
      </c>
      <c r="C22" s="15">
        <v>6</v>
      </c>
      <c r="D22" s="15">
        <v>3</v>
      </c>
      <c r="E22" s="20" t="s">
        <v>255</v>
      </c>
      <c r="F22" s="15" t="s">
        <v>247</v>
      </c>
      <c r="G22" s="15">
        <f t="shared" si="3"/>
        <v>21</v>
      </c>
      <c r="H22" s="15">
        <v>20</v>
      </c>
      <c r="I22" s="9">
        <f t="shared" si="0"/>
        <v>18</v>
      </c>
      <c r="J22" s="15" t="s">
        <v>233</v>
      </c>
    </row>
    <row r="23" spans="1:10" s="17" customFormat="1" x14ac:dyDescent="0.55000000000000004">
      <c r="A23" s="16">
        <v>44269</v>
      </c>
      <c r="B23" s="17" t="s">
        <v>246</v>
      </c>
      <c r="C23" s="17">
        <v>6</v>
      </c>
      <c r="D23" s="17">
        <v>4</v>
      </c>
      <c r="F23" s="17" t="s">
        <v>247</v>
      </c>
      <c r="G23" s="17">
        <f t="shared" si="3"/>
        <v>22</v>
      </c>
      <c r="H23" s="17">
        <v>21</v>
      </c>
      <c r="I23" s="29">
        <f t="shared" si="0"/>
        <v>18</v>
      </c>
      <c r="J23" s="17" t="s">
        <v>233</v>
      </c>
    </row>
    <row r="24" spans="1:10" s="19" customFormat="1" x14ac:dyDescent="0.55000000000000004">
      <c r="A24" s="18">
        <v>44270</v>
      </c>
      <c r="B24" s="19" t="s">
        <v>248</v>
      </c>
      <c r="C24" s="19">
        <v>7</v>
      </c>
      <c r="D24" s="19">
        <v>1</v>
      </c>
      <c r="E24" s="19" t="s">
        <v>249</v>
      </c>
      <c r="F24" s="19" t="s">
        <v>249</v>
      </c>
      <c r="G24" s="19">
        <v>23</v>
      </c>
      <c r="H24" s="19">
        <v>22</v>
      </c>
      <c r="I24" s="30">
        <f t="shared" si="0"/>
        <v>21</v>
      </c>
      <c r="J24" s="19" t="s">
        <v>233</v>
      </c>
    </row>
    <row r="25" spans="1:10" s="15" customFormat="1" x14ac:dyDescent="0.55000000000000004">
      <c r="A25" s="14">
        <v>44271</v>
      </c>
      <c r="B25" s="15" t="s">
        <v>250</v>
      </c>
      <c r="C25" s="15">
        <v>8</v>
      </c>
      <c r="D25" s="15">
        <v>1</v>
      </c>
      <c r="E25" s="15" t="s">
        <v>252</v>
      </c>
      <c r="F25" s="15" t="s">
        <v>254</v>
      </c>
      <c r="G25" s="15">
        <v>24</v>
      </c>
      <c r="H25" s="15">
        <v>23</v>
      </c>
      <c r="I25" s="9">
        <f t="shared" si="0"/>
        <v>24</v>
      </c>
      <c r="J25" s="15" t="s">
        <v>233</v>
      </c>
    </row>
    <row r="26" spans="1:10" s="17" customFormat="1" x14ac:dyDescent="0.55000000000000004">
      <c r="A26" s="16">
        <v>44271</v>
      </c>
      <c r="B26" s="17" t="s">
        <v>251</v>
      </c>
      <c r="C26" s="17">
        <v>8</v>
      </c>
      <c r="D26" s="17">
        <v>2</v>
      </c>
      <c r="E26" s="17" t="s">
        <v>253</v>
      </c>
      <c r="F26" s="17" t="s">
        <v>254</v>
      </c>
      <c r="G26" s="17">
        <v>25</v>
      </c>
      <c r="H26" s="17">
        <v>24</v>
      </c>
      <c r="I26" s="29">
        <f t="shared" si="0"/>
        <v>24</v>
      </c>
      <c r="J26" s="17" t="s">
        <v>233</v>
      </c>
    </row>
    <row r="27" spans="1:10" x14ac:dyDescent="0.55000000000000004">
      <c r="A27" s="8">
        <f t="shared" si="2"/>
        <v>44272</v>
      </c>
      <c r="B27" s="20" t="s">
        <v>263</v>
      </c>
      <c r="C27" s="20">
        <v>9</v>
      </c>
      <c r="D27" s="20">
        <v>1</v>
      </c>
      <c r="F27" s="20" t="s">
        <v>261</v>
      </c>
      <c r="G27" s="20">
        <v>26</v>
      </c>
      <c r="H27" s="20">
        <v>25</v>
      </c>
      <c r="I27" s="9">
        <f t="shared" si="0"/>
        <v>27</v>
      </c>
      <c r="J27" t="s">
        <v>262</v>
      </c>
    </row>
    <row r="28" spans="1:10" s="17" customFormat="1" x14ac:dyDescent="0.55000000000000004">
      <c r="A28" s="16">
        <v>44272</v>
      </c>
      <c r="B28" s="23" t="s">
        <v>259</v>
      </c>
      <c r="C28" s="23">
        <v>9</v>
      </c>
      <c r="D28" s="23">
        <v>2</v>
      </c>
      <c r="E28" s="17" t="s">
        <v>260</v>
      </c>
      <c r="F28" s="23" t="s">
        <v>261</v>
      </c>
      <c r="G28" s="23">
        <v>27</v>
      </c>
      <c r="H28" s="23">
        <v>26</v>
      </c>
      <c r="I28" s="29">
        <f t="shared" si="0"/>
        <v>27</v>
      </c>
      <c r="J28" s="17" t="s">
        <v>262</v>
      </c>
    </row>
    <row r="29" spans="1:10" x14ac:dyDescent="0.55000000000000004">
      <c r="A29" s="8">
        <f t="shared" si="2"/>
        <v>44273</v>
      </c>
      <c r="B29" s="20" t="s">
        <v>264</v>
      </c>
      <c r="C29" s="20">
        <v>10</v>
      </c>
      <c r="D29" s="20">
        <v>1</v>
      </c>
      <c r="E29" s="20" t="s">
        <v>275</v>
      </c>
      <c r="F29" s="20" t="s">
        <v>270</v>
      </c>
      <c r="G29" s="20">
        <v>28</v>
      </c>
      <c r="H29" s="20">
        <v>27</v>
      </c>
      <c r="I29" s="9">
        <f t="shared" si="0"/>
        <v>30</v>
      </c>
      <c r="J29" t="s">
        <v>265</v>
      </c>
    </row>
    <row r="30" spans="1:10" x14ac:dyDescent="0.55000000000000004">
      <c r="A30" s="8">
        <v>44273</v>
      </c>
      <c r="B30" s="20" t="s">
        <v>266</v>
      </c>
      <c r="C30" s="20">
        <v>10</v>
      </c>
      <c r="D30" s="20">
        <v>2</v>
      </c>
      <c r="E30" t="s">
        <v>271</v>
      </c>
      <c r="F30" s="20" t="s">
        <v>270</v>
      </c>
      <c r="G30" s="20">
        <v>29</v>
      </c>
      <c r="H30" s="20">
        <v>28</v>
      </c>
      <c r="I30" s="9">
        <f t="shared" si="0"/>
        <v>30</v>
      </c>
      <c r="J30" t="s">
        <v>265</v>
      </c>
    </row>
    <row r="31" spans="1:10" x14ac:dyDescent="0.55000000000000004">
      <c r="A31" s="8">
        <v>44273</v>
      </c>
      <c r="B31" s="20" t="s">
        <v>267</v>
      </c>
      <c r="C31" s="20">
        <v>10</v>
      </c>
      <c r="D31" s="20">
        <v>3</v>
      </c>
      <c r="E31" t="s">
        <v>272</v>
      </c>
      <c r="F31" s="20" t="s">
        <v>270</v>
      </c>
      <c r="G31" s="20">
        <v>30</v>
      </c>
      <c r="H31" s="20">
        <v>29</v>
      </c>
      <c r="I31" s="9">
        <f t="shared" si="0"/>
        <v>30</v>
      </c>
      <c r="J31" t="s">
        <v>265</v>
      </c>
    </row>
    <row r="32" spans="1:10" x14ac:dyDescent="0.55000000000000004">
      <c r="A32" s="8">
        <v>44273</v>
      </c>
      <c r="B32" s="20" t="s">
        <v>268</v>
      </c>
      <c r="C32" s="20">
        <v>10</v>
      </c>
      <c r="D32" s="20">
        <v>4</v>
      </c>
      <c r="E32" t="s">
        <v>273</v>
      </c>
      <c r="F32" s="20" t="s">
        <v>270</v>
      </c>
      <c r="G32" s="20">
        <v>31</v>
      </c>
      <c r="H32" s="20">
        <v>30</v>
      </c>
      <c r="I32" s="9">
        <f t="shared" si="0"/>
        <v>30</v>
      </c>
      <c r="J32" t="s">
        <v>265</v>
      </c>
    </row>
    <row r="33" spans="1:10" s="17" customFormat="1" x14ac:dyDescent="0.55000000000000004">
      <c r="A33" s="16">
        <v>44273</v>
      </c>
      <c r="B33" s="23" t="s">
        <v>269</v>
      </c>
      <c r="C33" s="23">
        <v>10</v>
      </c>
      <c r="D33" s="23">
        <v>5</v>
      </c>
      <c r="E33" s="17" t="s">
        <v>274</v>
      </c>
      <c r="F33" s="23" t="s">
        <v>270</v>
      </c>
      <c r="G33" s="23">
        <v>32</v>
      </c>
      <c r="H33" s="23">
        <v>31</v>
      </c>
      <c r="I33" s="29">
        <f t="shared" si="0"/>
        <v>30</v>
      </c>
      <c r="J33" s="17" t="s">
        <v>265</v>
      </c>
    </row>
    <row r="34" spans="1:10" x14ac:dyDescent="0.55000000000000004">
      <c r="A34" s="8">
        <f t="shared" si="2"/>
        <v>44274</v>
      </c>
      <c r="B34" s="20" t="s">
        <v>317</v>
      </c>
      <c r="C34" s="20">
        <v>11</v>
      </c>
      <c r="D34" s="20">
        <v>1</v>
      </c>
      <c r="E34" t="s">
        <v>320</v>
      </c>
      <c r="F34" s="20" t="s">
        <v>328</v>
      </c>
      <c r="G34">
        <f>G33+1</f>
        <v>33</v>
      </c>
      <c r="H34" s="20">
        <v>32</v>
      </c>
      <c r="I34" s="9">
        <f t="shared" si="0"/>
        <v>33</v>
      </c>
      <c r="J34" s="17" t="s">
        <v>321</v>
      </c>
    </row>
    <row r="35" spans="1:10" x14ac:dyDescent="0.55000000000000004">
      <c r="A35" s="8">
        <v>44274</v>
      </c>
      <c r="B35" s="20" t="s">
        <v>318</v>
      </c>
      <c r="C35" s="20">
        <v>11</v>
      </c>
      <c r="D35" s="20">
        <v>2</v>
      </c>
      <c r="E35" t="s">
        <v>326</v>
      </c>
      <c r="F35" s="20" t="s">
        <v>328</v>
      </c>
      <c r="G35">
        <f t="shared" ref="G35:G72" si="4">G34+1</f>
        <v>34</v>
      </c>
      <c r="H35" s="20">
        <v>33</v>
      </c>
      <c r="I35" s="9">
        <f t="shared" si="0"/>
        <v>33</v>
      </c>
      <c r="J35" s="15" t="s">
        <v>321</v>
      </c>
    </row>
    <row r="36" spans="1:10" s="17" customFormat="1" x14ac:dyDescent="0.55000000000000004">
      <c r="A36" s="16">
        <v>44274</v>
      </c>
      <c r="B36" s="23" t="s">
        <v>319</v>
      </c>
      <c r="C36" s="23">
        <v>11</v>
      </c>
      <c r="D36" s="23">
        <v>3</v>
      </c>
      <c r="E36" s="17" t="s">
        <v>327</v>
      </c>
      <c r="F36" s="23" t="s">
        <v>328</v>
      </c>
      <c r="G36" s="17">
        <f t="shared" si="4"/>
        <v>35</v>
      </c>
      <c r="H36" s="23">
        <v>34</v>
      </c>
      <c r="I36" s="29">
        <f t="shared" si="0"/>
        <v>33</v>
      </c>
      <c r="J36" s="17" t="s">
        <v>321</v>
      </c>
    </row>
    <row r="37" spans="1:10" x14ac:dyDescent="0.55000000000000004">
      <c r="A37" s="8">
        <f t="shared" si="2"/>
        <v>44275</v>
      </c>
      <c r="B37" s="20" t="s">
        <v>322</v>
      </c>
      <c r="C37" s="20">
        <v>12</v>
      </c>
      <c r="D37" s="20">
        <v>1</v>
      </c>
      <c r="E37" t="s">
        <v>347</v>
      </c>
      <c r="F37" t="s">
        <v>324</v>
      </c>
      <c r="G37">
        <f t="shared" si="4"/>
        <v>36</v>
      </c>
      <c r="H37" s="20">
        <v>35</v>
      </c>
      <c r="I37" s="9">
        <f t="shared" si="0"/>
        <v>36</v>
      </c>
      <c r="J37" s="15" t="s">
        <v>321</v>
      </c>
    </row>
    <row r="38" spans="1:10" s="17" customFormat="1" x14ac:dyDescent="0.55000000000000004">
      <c r="A38" s="16">
        <v>44275</v>
      </c>
      <c r="B38" s="23" t="s">
        <v>323</v>
      </c>
      <c r="C38" s="23">
        <v>12</v>
      </c>
      <c r="D38" s="23">
        <v>2</v>
      </c>
      <c r="E38" s="17" t="s">
        <v>325</v>
      </c>
      <c r="F38" s="17" t="s">
        <v>324</v>
      </c>
      <c r="G38" s="17">
        <f t="shared" si="4"/>
        <v>37</v>
      </c>
      <c r="H38" s="23">
        <v>36</v>
      </c>
      <c r="I38" s="29">
        <f t="shared" si="0"/>
        <v>36</v>
      </c>
      <c r="J38" s="17" t="s">
        <v>321</v>
      </c>
    </row>
    <row r="39" spans="1:10" x14ac:dyDescent="0.55000000000000004">
      <c r="A39" s="8">
        <f t="shared" si="2"/>
        <v>44276</v>
      </c>
      <c r="B39" s="20" t="s">
        <v>329</v>
      </c>
      <c r="C39" s="20">
        <v>13</v>
      </c>
      <c r="D39" s="20">
        <v>1</v>
      </c>
      <c r="E39" t="s">
        <v>336</v>
      </c>
      <c r="F39" t="s">
        <v>335</v>
      </c>
      <c r="G39">
        <f t="shared" si="4"/>
        <v>38</v>
      </c>
      <c r="H39" s="20">
        <v>37</v>
      </c>
      <c r="I39" s="9">
        <f t="shared" si="0"/>
        <v>39</v>
      </c>
      <c r="J39" s="15" t="s">
        <v>337</v>
      </c>
    </row>
    <row r="40" spans="1:10" x14ac:dyDescent="0.55000000000000004">
      <c r="A40" s="8">
        <v>44276</v>
      </c>
      <c r="B40" s="20" t="s">
        <v>330</v>
      </c>
      <c r="C40" s="20">
        <v>13</v>
      </c>
      <c r="D40" s="20">
        <v>2</v>
      </c>
      <c r="E40" t="s">
        <v>241</v>
      </c>
      <c r="F40" t="s">
        <v>335</v>
      </c>
      <c r="G40">
        <f t="shared" si="4"/>
        <v>39</v>
      </c>
      <c r="H40" s="20">
        <v>38</v>
      </c>
      <c r="I40" s="9">
        <f t="shared" si="0"/>
        <v>39</v>
      </c>
      <c r="J40" s="15" t="s">
        <v>337</v>
      </c>
    </row>
    <row r="41" spans="1:10" x14ac:dyDescent="0.55000000000000004">
      <c r="A41" s="8">
        <v>44276</v>
      </c>
      <c r="B41" s="20" t="s">
        <v>331</v>
      </c>
      <c r="C41" s="20">
        <v>13</v>
      </c>
      <c r="D41" s="20">
        <v>3</v>
      </c>
      <c r="E41" t="s">
        <v>348</v>
      </c>
      <c r="F41" t="s">
        <v>335</v>
      </c>
      <c r="G41">
        <f t="shared" si="4"/>
        <v>40</v>
      </c>
      <c r="H41" s="20">
        <v>39</v>
      </c>
      <c r="I41" s="9">
        <f t="shared" si="0"/>
        <v>39</v>
      </c>
      <c r="J41" s="15" t="s">
        <v>337</v>
      </c>
    </row>
    <row r="42" spans="1:10" x14ac:dyDescent="0.55000000000000004">
      <c r="A42" s="8">
        <v>44276</v>
      </c>
      <c r="B42" s="20" t="s">
        <v>332</v>
      </c>
      <c r="C42" s="20">
        <v>13</v>
      </c>
      <c r="D42" s="20">
        <v>4</v>
      </c>
      <c r="E42" t="s">
        <v>346</v>
      </c>
      <c r="F42" t="s">
        <v>335</v>
      </c>
      <c r="G42">
        <f t="shared" si="4"/>
        <v>41</v>
      </c>
      <c r="H42" s="20">
        <v>40</v>
      </c>
      <c r="I42" s="9">
        <f t="shared" si="0"/>
        <v>39</v>
      </c>
      <c r="J42" s="15" t="s">
        <v>337</v>
      </c>
    </row>
    <row r="43" spans="1:10" x14ac:dyDescent="0.55000000000000004">
      <c r="A43" s="8">
        <v>44276</v>
      </c>
      <c r="B43" s="20" t="s">
        <v>333</v>
      </c>
      <c r="C43" s="20">
        <v>13</v>
      </c>
      <c r="D43" s="20">
        <v>5</v>
      </c>
      <c r="E43" t="s">
        <v>345</v>
      </c>
      <c r="F43" t="s">
        <v>335</v>
      </c>
      <c r="G43">
        <f t="shared" si="4"/>
        <v>42</v>
      </c>
      <c r="H43" s="20">
        <v>41</v>
      </c>
      <c r="I43" s="9">
        <f t="shared" si="0"/>
        <v>39</v>
      </c>
      <c r="J43" s="15" t="s">
        <v>337</v>
      </c>
    </row>
    <row r="44" spans="1:10" s="17" customFormat="1" x14ac:dyDescent="0.55000000000000004">
      <c r="A44" s="16">
        <v>44276</v>
      </c>
      <c r="B44" s="23" t="s">
        <v>334</v>
      </c>
      <c r="C44" s="23">
        <v>13</v>
      </c>
      <c r="D44" s="23">
        <v>6</v>
      </c>
      <c r="E44" s="17" t="s">
        <v>182</v>
      </c>
      <c r="F44" s="17" t="s">
        <v>335</v>
      </c>
      <c r="G44" s="17">
        <f t="shared" si="4"/>
        <v>43</v>
      </c>
      <c r="H44" s="23">
        <v>41</v>
      </c>
      <c r="I44" s="29">
        <f t="shared" si="0"/>
        <v>39</v>
      </c>
      <c r="J44" s="17" t="s">
        <v>337</v>
      </c>
    </row>
    <row r="45" spans="1:10" x14ac:dyDescent="0.55000000000000004">
      <c r="A45" s="8">
        <f t="shared" si="2"/>
        <v>44277</v>
      </c>
      <c r="B45" s="20" t="s">
        <v>338</v>
      </c>
      <c r="C45" s="20">
        <v>14</v>
      </c>
      <c r="D45" s="20">
        <v>1</v>
      </c>
      <c r="F45" t="s">
        <v>343</v>
      </c>
      <c r="G45">
        <f t="shared" si="4"/>
        <v>44</v>
      </c>
      <c r="H45" s="20">
        <v>42</v>
      </c>
      <c r="I45" s="9">
        <f t="shared" si="0"/>
        <v>42</v>
      </c>
      <c r="J45" s="15" t="s">
        <v>344</v>
      </c>
    </row>
    <row r="46" spans="1:10" x14ac:dyDescent="0.55000000000000004">
      <c r="A46" s="8">
        <v>44277</v>
      </c>
      <c r="B46" s="20" t="s">
        <v>339</v>
      </c>
      <c r="C46" s="20">
        <v>14</v>
      </c>
      <c r="D46" s="20">
        <v>2</v>
      </c>
      <c r="F46" t="s">
        <v>343</v>
      </c>
      <c r="G46">
        <f t="shared" si="4"/>
        <v>45</v>
      </c>
      <c r="H46" s="20">
        <v>43</v>
      </c>
      <c r="I46" s="9">
        <f t="shared" si="0"/>
        <v>42</v>
      </c>
      <c r="J46" s="15" t="s">
        <v>344</v>
      </c>
    </row>
    <row r="47" spans="1:10" x14ac:dyDescent="0.55000000000000004">
      <c r="A47" s="8">
        <v>44277</v>
      </c>
      <c r="B47" s="20" t="s">
        <v>340</v>
      </c>
      <c r="C47" s="20">
        <v>14</v>
      </c>
      <c r="D47" s="20">
        <v>3</v>
      </c>
      <c r="E47" t="s">
        <v>341</v>
      </c>
      <c r="F47" t="s">
        <v>343</v>
      </c>
      <c r="G47">
        <f t="shared" si="4"/>
        <v>46</v>
      </c>
      <c r="H47" s="20">
        <v>44</v>
      </c>
      <c r="I47" s="9">
        <f t="shared" si="0"/>
        <v>42</v>
      </c>
      <c r="J47" s="15" t="s">
        <v>344</v>
      </c>
    </row>
    <row r="48" spans="1:10" s="17" customFormat="1" x14ac:dyDescent="0.55000000000000004">
      <c r="A48" s="16">
        <v>44277</v>
      </c>
      <c r="B48" s="23" t="s">
        <v>342</v>
      </c>
      <c r="C48" s="23">
        <v>14</v>
      </c>
      <c r="D48" s="23">
        <v>4</v>
      </c>
      <c r="F48" s="17" t="s">
        <v>343</v>
      </c>
      <c r="G48" s="17">
        <f t="shared" si="4"/>
        <v>47</v>
      </c>
      <c r="H48" s="23">
        <v>44</v>
      </c>
      <c r="I48" s="29">
        <f t="shared" si="0"/>
        <v>42</v>
      </c>
      <c r="J48" s="17" t="s">
        <v>344</v>
      </c>
    </row>
    <row r="49" spans="1:10" x14ac:dyDescent="0.55000000000000004">
      <c r="A49" s="8">
        <f t="shared" si="2"/>
        <v>44278</v>
      </c>
      <c r="B49" s="20" t="s">
        <v>349</v>
      </c>
      <c r="C49" s="20">
        <v>15</v>
      </c>
      <c r="D49" s="20">
        <v>1</v>
      </c>
      <c r="E49" t="s">
        <v>351</v>
      </c>
      <c r="F49" t="s">
        <v>353</v>
      </c>
      <c r="G49">
        <f t="shared" si="4"/>
        <v>48</v>
      </c>
      <c r="H49" s="20">
        <v>45</v>
      </c>
      <c r="I49" s="9">
        <f t="shared" si="0"/>
        <v>45</v>
      </c>
      <c r="J49" s="20" t="s">
        <v>354</v>
      </c>
    </row>
    <row r="50" spans="1:10" s="17" customFormat="1" x14ac:dyDescent="0.55000000000000004">
      <c r="A50" s="16">
        <v>44278</v>
      </c>
      <c r="B50" s="23" t="s">
        <v>350</v>
      </c>
      <c r="C50" s="23">
        <v>15</v>
      </c>
      <c r="D50" s="23">
        <v>2</v>
      </c>
      <c r="E50" s="17" t="s">
        <v>352</v>
      </c>
      <c r="F50" s="17" t="s">
        <v>353</v>
      </c>
      <c r="G50" s="17">
        <f t="shared" si="4"/>
        <v>49</v>
      </c>
      <c r="H50" s="23">
        <v>46</v>
      </c>
      <c r="I50" s="29">
        <f t="shared" si="0"/>
        <v>45</v>
      </c>
      <c r="J50" s="23" t="s">
        <v>354</v>
      </c>
    </row>
    <row r="51" spans="1:10" x14ac:dyDescent="0.55000000000000004">
      <c r="A51" s="8">
        <f t="shared" si="2"/>
        <v>44279</v>
      </c>
      <c r="B51" s="20" t="s">
        <v>355</v>
      </c>
      <c r="C51" s="20">
        <v>16</v>
      </c>
      <c r="D51" s="20">
        <v>1</v>
      </c>
      <c r="E51" t="s">
        <v>362</v>
      </c>
      <c r="F51" t="s">
        <v>366</v>
      </c>
      <c r="G51" s="15">
        <f t="shared" si="4"/>
        <v>50</v>
      </c>
      <c r="H51" s="20">
        <v>47</v>
      </c>
      <c r="I51" s="9">
        <f t="shared" si="0"/>
        <v>48</v>
      </c>
      <c r="J51" s="20" t="s">
        <v>367</v>
      </c>
    </row>
    <row r="52" spans="1:10" x14ac:dyDescent="0.55000000000000004">
      <c r="A52" s="8">
        <v>44279</v>
      </c>
      <c r="B52" s="20" t="s">
        <v>356</v>
      </c>
      <c r="C52" s="20">
        <v>16</v>
      </c>
      <c r="D52" s="20">
        <v>2</v>
      </c>
      <c r="E52" t="s">
        <v>368</v>
      </c>
      <c r="F52" t="s">
        <v>366</v>
      </c>
      <c r="G52" s="15">
        <f t="shared" si="4"/>
        <v>51</v>
      </c>
      <c r="H52" s="20">
        <v>48</v>
      </c>
      <c r="I52" s="9">
        <f t="shared" si="0"/>
        <v>48</v>
      </c>
      <c r="J52" s="20" t="s">
        <v>367</v>
      </c>
    </row>
    <row r="53" spans="1:10" x14ac:dyDescent="0.55000000000000004">
      <c r="A53" s="8">
        <v>44279</v>
      </c>
      <c r="B53" s="20" t="s">
        <v>357</v>
      </c>
      <c r="C53" s="20">
        <v>16</v>
      </c>
      <c r="D53" s="20">
        <v>3</v>
      </c>
      <c r="E53" t="s">
        <v>220</v>
      </c>
      <c r="F53" t="s">
        <v>366</v>
      </c>
      <c r="G53" s="15">
        <f t="shared" si="4"/>
        <v>52</v>
      </c>
      <c r="H53" s="20">
        <v>48</v>
      </c>
      <c r="I53" s="9">
        <f t="shared" si="0"/>
        <v>48</v>
      </c>
      <c r="J53" s="20" t="s">
        <v>367</v>
      </c>
    </row>
    <row r="54" spans="1:10" x14ac:dyDescent="0.55000000000000004">
      <c r="A54" s="8">
        <v>44279</v>
      </c>
      <c r="B54" s="20" t="s">
        <v>358</v>
      </c>
      <c r="C54" s="20">
        <v>16</v>
      </c>
      <c r="D54" s="20">
        <v>4</v>
      </c>
      <c r="E54" t="s">
        <v>363</v>
      </c>
      <c r="F54" t="s">
        <v>366</v>
      </c>
      <c r="G54" s="15">
        <f t="shared" si="4"/>
        <v>53</v>
      </c>
      <c r="H54" s="20">
        <v>49</v>
      </c>
      <c r="I54" s="9">
        <f t="shared" si="0"/>
        <v>48</v>
      </c>
      <c r="J54" s="20" t="s">
        <v>367</v>
      </c>
    </row>
    <row r="55" spans="1:10" x14ac:dyDescent="0.55000000000000004">
      <c r="A55" s="8">
        <v>44279</v>
      </c>
      <c r="B55" s="20" t="s">
        <v>359</v>
      </c>
      <c r="C55" s="20">
        <v>16</v>
      </c>
      <c r="D55" s="20">
        <v>5</v>
      </c>
      <c r="E55" t="s">
        <v>369</v>
      </c>
      <c r="F55" t="s">
        <v>366</v>
      </c>
      <c r="G55" s="15">
        <f t="shared" si="4"/>
        <v>54</v>
      </c>
      <c r="H55" s="20">
        <v>50</v>
      </c>
      <c r="I55" s="9">
        <f t="shared" si="0"/>
        <v>48</v>
      </c>
      <c r="J55" s="20" t="s">
        <v>367</v>
      </c>
    </row>
    <row r="56" spans="1:10" x14ac:dyDescent="0.55000000000000004">
      <c r="A56" s="8">
        <v>44279</v>
      </c>
      <c r="B56" s="20" t="s">
        <v>360</v>
      </c>
      <c r="C56" s="20">
        <v>16</v>
      </c>
      <c r="D56" s="20">
        <v>6</v>
      </c>
      <c r="E56" t="s">
        <v>364</v>
      </c>
      <c r="F56" t="s">
        <v>366</v>
      </c>
      <c r="G56" s="15">
        <f t="shared" si="4"/>
        <v>55</v>
      </c>
      <c r="H56" s="20">
        <v>51</v>
      </c>
      <c r="I56" s="9">
        <f t="shared" si="0"/>
        <v>48</v>
      </c>
      <c r="J56" s="20" t="s">
        <v>367</v>
      </c>
    </row>
    <row r="57" spans="1:10" s="17" customFormat="1" x14ac:dyDescent="0.55000000000000004">
      <c r="A57" s="16">
        <v>44279</v>
      </c>
      <c r="B57" s="23" t="s">
        <v>361</v>
      </c>
      <c r="C57" s="23">
        <v>16</v>
      </c>
      <c r="D57" s="23">
        <v>7</v>
      </c>
      <c r="E57" s="17" t="s">
        <v>365</v>
      </c>
      <c r="F57" s="17" t="s">
        <v>366</v>
      </c>
      <c r="G57" s="17">
        <f t="shared" si="4"/>
        <v>56</v>
      </c>
      <c r="H57" s="23">
        <v>51</v>
      </c>
      <c r="I57" s="29">
        <f t="shared" si="0"/>
        <v>48</v>
      </c>
      <c r="J57" s="23" t="s">
        <v>367</v>
      </c>
    </row>
    <row r="58" spans="1:10" x14ac:dyDescent="0.55000000000000004">
      <c r="A58" s="8">
        <f t="shared" si="2"/>
        <v>44280</v>
      </c>
      <c r="B58" s="20" t="s">
        <v>370</v>
      </c>
      <c r="C58" s="20">
        <v>17</v>
      </c>
      <c r="D58" s="20">
        <v>1</v>
      </c>
      <c r="F58" t="s">
        <v>372</v>
      </c>
      <c r="G58" s="15">
        <f t="shared" si="4"/>
        <v>57</v>
      </c>
      <c r="H58" s="20">
        <v>52</v>
      </c>
      <c r="I58" s="9">
        <f t="shared" si="0"/>
        <v>51</v>
      </c>
      <c r="J58" t="s">
        <v>376</v>
      </c>
    </row>
    <row r="59" spans="1:10" x14ac:dyDescent="0.55000000000000004">
      <c r="A59" s="8">
        <v>44280</v>
      </c>
      <c r="B59" s="20" t="s">
        <v>371</v>
      </c>
      <c r="C59" s="20">
        <v>17</v>
      </c>
      <c r="D59" s="20">
        <v>2</v>
      </c>
      <c r="F59" t="s">
        <v>372</v>
      </c>
      <c r="G59" s="15">
        <f t="shared" si="4"/>
        <v>58</v>
      </c>
      <c r="H59" s="20">
        <v>53</v>
      </c>
      <c r="I59" s="9">
        <f t="shared" si="0"/>
        <v>51</v>
      </c>
      <c r="J59" t="s">
        <v>376</v>
      </c>
    </row>
    <row r="60" spans="1:10" s="17" customFormat="1" x14ac:dyDescent="0.55000000000000004">
      <c r="A60" s="16">
        <v>44280</v>
      </c>
      <c r="B60" s="23" t="s">
        <v>378</v>
      </c>
      <c r="C60" s="23">
        <v>17</v>
      </c>
      <c r="D60" s="23">
        <v>3</v>
      </c>
      <c r="F60" s="17" t="s">
        <v>372</v>
      </c>
      <c r="G60" s="17">
        <f t="shared" si="4"/>
        <v>59</v>
      </c>
      <c r="H60" s="23">
        <v>54</v>
      </c>
      <c r="I60" s="29">
        <f t="shared" si="0"/>
        <v>51</v>
      </c>
      <c r="J60" s="17" t="s">
        <v>376</v>
      </c>
    </row>
    <row r="61" spans="1:10" x14ac:dyDescent="0.55000000000000004">
      <c r="A61" s="8">
        <f t="shared" si="2"/>
        <v>44281</v>
      </c>
      <c r="B61" s="20" t="s">
        <v>373</v>
      </c>
      <c r="C61" s="20">
        <v>18</v>
      </c>
      <c r="D61" s="20">
        <v>1</v>
      </c>
      <c r="F61" t="s">
        <v>377</v>
      </c>
      <c r="G61" s="15">
        <f t="shared" si="4"/>
        <v>60</v>
      </c>
      <c r="H61" s="20">
        <v>55</v>
      </c>
      <c r="I61" s="9">
        <f t="shared" si="0"/>
        <v>54</v>
      </c>
      <c r="J61" t="s">
        <v>376</v>
      </c>
    </row>
    <row r="62" spans="1:10" x14ac:dyDescent="0.55000000000000004">
      <c r="A62" s="8">
        <v>44281</v>
      </c>
      <c r="B62" s="20" t="s">
        <v>374</v>
      </c>
      <c r="C62" s="20">
        <v>18</v>
      </c>
      <c r="D62" s="20">
        <v>2</v>
      </c>
      <c r="F62" t="s">
        <v>377</v>
      </c>
      <c r="G62" s="15">
        <f t="shared" si="4"/>
        <v>61</v>
      </c>
      <c r="H62" s="20">
        <v>56</v>
      </c>
      <c r="I62" s="9">
        <f t="shared" si="0"/>
        <v>54</v>
      </c>
      <c r="J62" t="s">
        <v>376</v>
      </c>
    </row>
    <row r="63" spans="1:10" s="17" customFormat="1" x14ac:dyDescent="0.55000000000000004">
      <c r="A63" s="16">
        <v>44281</v>
      </c>
      <c r="B63" s="23" t="s">
        <v>375</v>
      </c>
      <c r="C63" s="23">
        <v>18</v>
      </c>
      <c r="D63" s="23">
        <v>3</v>
      </c>
      <c r="F63" s="17" t="s">
        <v>377</v>
      </c>
      <c r="G63" s="17">
        <f t="shared" si="4"/>
        <v>62</v>
      </c>
      <c r="H63" s="23">
        <v>57</v>
      </c>
      <c r="I63" s="29">
        <f t="shared" si="0"/>
        <v>54</v>
      </c>
      <c r="J63" s="17" t="s">
        <v>376</v>
      </c>
    </row>
    <row r="64" spans="1:10" x14ac:dyDescent="0.55000000000000004">
      <c r="A64" s="8">
        <f t="shared" si="2"/>
        <v>44282</v>
      </c>
      <c r="B64" s="20" t="s">
        <v>380</v>
      </c>
      <c r="C64" s="20">
        <v>19</v>
      </c>
      <c r="D64" s="20">
        <v>1</v>
      </c>
      <c r="E64" t="s">
        <v>385</v>
      </c>
      <c r="F64" t="s">
        <v>390</v>
      </c>
      <c r="G64" s="15">
        <f t="shared" si="4"/>
        <v>63</v>
      </c>
      <c r="H64" s="20">
        <v>57</v>
      </c>
      <c r="I64" s="9">
        <f t="shared" si="0"/>
        <v>57</v>
      </c>
      <c r="J64" t="s">
        <v>391</v>
      </c>
    </row>
    <row r="65" spans="1:10" x14ac:dyDescent="0.55000000000000004">
      <c r="A65" s="8">
        <v>44282</v>
      </c>
      <c r="B65" s="20" t="s">
        <v>381</v>
      </c>
      <c r="C65" s="20">
        <v>19</v>
      </c>
      <c r="D65" s="20">
        <v>2</v>
      </c>
      <c r="E65" t="s">
        <v>386</v>
      </c>
      <c r="F65" t="s">
        <v>390</v>
      </c>
      <c r="G65" s="15">
        <f t="shared" si="4"/>
        <v>64</v>
      </c>
      <c r="H65" s="20">
        <v>57</v>
      </c>
      <c r="I65" s="9">
        <f t="shared" si="0"/>
        <v>57</v>
      </c>
      <c r="J65" t="s">
        <v>391</v>
      </c>
    </row>
    <row r="66" spans="1:10" x14ac:dyDescent="0.55000000000000004">
      <c r="A66" s="8">
        <v>44282</v>
      </c>
      <c r="B66" s="20" t="s">
        <v>382</v>
      </c>
      <c r="C66" s="20">
        <v>19</v>
      </c>
      <c r="D66" s="20">
        <v>3</v>
      </c>
      <c r="E66" t="s">
        <v>387</v>
      </c>
      <c r="F66" t="s">
        <v>390</v>
      </c>
      <c r="G66" s="15">
        <f t="shared" si="4"/>
        <v>65</v>
      </c>
      <c r="H66" s="20">
        <v>58</v>
      </c>
      <c r="I66" s="9">
        <f t="shared" si="0"/>
        <v>57</v>
      </c>
      <c r="J66" t="s">
        <v>391</v>
      </c>
    </row>
    <row r="67" spans="1:10" x14ac:dyDescent="0.55000000000000004">
      <c r="A67" s="8">
        <v>44282</v>
      </c>
      <c r="B67" s="20" t="s">
        <v>383</v>
      </c>
      <c r="C67" s="20">
        <v>19</v>
      </c>
      <c r="D67" s="20">
        <v>4</v>
      </c>
      <c r="E67" t="s">
        <v>388</v>
      </c>
      <c r="F67" t="s">
        <v>390</v>
      </c>
      <c r="G67" s="15">
        <f t="shared" si="4"/>
        <v>66</v>
      </c>
      <c r="H67" s="20">
        <v>59</v>
      </c>
      <c r="I67" s="9">
        <f t="shared" ref="I67:I130" si="5">( A67-DATE(2021,3,8) )*3</f>
        <v>57</v>
      </c>
      <c r="J67" t="s">
        <v>391</v>
      </c>
    </row>
    <row r="68" spans="1:10" s="17" customFormat="1" x14ac:dyDescent="0.55000000000000004">
      <c r="A68" s="16">
        <v>44282</v>
      </c>
      <c r="B68" s="23" t="s">
        <v>384</v>
      </c>
      <c r="C68" s="23">
        <v>19</v>
      </c>
      <c r="D68" s="23">
        <v>5</v>
      </c>
      <c r="E68" s="17" t="s">
        <v>389</v>
      </c>
      <c r="F68" s="17" t="s">
        <v>390</v>
      </c>
      <c r="G68" s="17">
        <f t="shared" si="4"/>
        <v>67</v>
      </c>
      <c r="H68" s="23">
        <v>60</v>
      </c>
      <c r="I68" s="29">
        <f t="shared" si="5"/>
        <v>57</v>
      </c>
      <c r="J68" s="17" t="s">
        <v>391</v>
      </c>
    </row>
    <row r="69" spans="1:10" s="19" customFormat="1" x14ac:dyDescent="0.55000000000000004">
      <c r="A69" s="18">
        <f t="shared" ref="A69:A132" si="6">A68+1</f>
        <v>44283</v>
      </c>
      <c r="B69" s="26" t="s">
        <v>392</v>
      </c>
      <c r="C69" s="26">
        <v>20</v>
      </c>
      <c r="D69" s="26">
        <v>1</v>
      </c>
      <c r="F69" s="19" t="s">
        <v>393</v>
      </c>
      <c r="G69" s="19">
        <f t="shared" si="4"/>
        <v>68</v>
      </c>
      <c r="H69" s="26">
        <v>61</v>
      </c>
      <c r="I69" s="30">
        <f t="shared" si="5"/>
        <v>60</v>
      </c>
      <c r="J69" s="19" t="s">
        <v>394</v>
      </c>
    </row>
    <row r="70" spans="1:10" x14ac:dyDescent="0.55000000000000004">
      <c r="A70" s="8">
        <f t="shared" si="6"/>
        <v>44284</v>
      </c>
      <c r="B70" s="20" t="s">
        <v>399</v>
      </c>
      <c r="C70" s="20">
        <v>21</v>
      </c>
      <c r="D70" s="20">
        <v>1</v>
      </c>
      <c r="F70" t="s">
        <v>404</v>
      </c>
      <c r="G70" s="15">
        <f t="shared" si="4"/>
        <v>69</v>
      </c>
      <c r="H70" s="20">
        <v>61</v>
      </c>
      <c r="I70" s="9">
        <f t="shared" si="5"/>
        <v>63</v>
      </c>
      <c r="J70" t="s">
        <v>402</v>
      </c>
    </row>
    <row r="71" spans="1:10" x14ac:dyDescent="0.55000000000000004">
      <c r="A71" s="8">
        <v>44284</v>
      </c>
      <c r="B71" s="20" t="s">
        <v>400</v>
      </c>
      <c r="C71" s="20">
        <v>21</v>
      </c>
      <c r="D71" s="20">
        <v>2</v>
      </c>
      <c r="E71" t="s">
        <v>403</v>
      </c>
      <c r="F71" t="s">
        <v>404</v>
      </c>
      <c r="G71" s="15">
        <f t="shared" si="4"/>
        <v>70</v>
      </c>
      <c r="H71" s="20">
        <v>62</v>
      </c>
      <c r="I71" s="9">
        <f t="shared" si="5"/>
        <v>63</v>
      </c>
      <c r="J71" t="s">
        <v>402</v>
      </c>
    </row>
    <row r="72" spans="1:10" s="17" customFormat="1" x14ac:dyDescent="0.55000000000000004">
      <c r="A72" s="16">
        <v>44284</v>
      </c>
      <c r="B72" s="23" t="s">
        <v>401</v>
      </c>
      <c r="C72" s="23">
        <v>21</v>
      </c>
      <c r="D72" s="23">
        <v>3</v>
      </c>
      <c r="F72" s="17" t="s">
        <v>404</v>
      </c>
      <c r="G72" s="17">
        <f t="shared" si="4"/>
        <v>71</v>
      </c>
      <c r="H72" s="23">
        <v>63</v>
      </c>
      <c r="I72" s="29">
        <f t="shared" si="5"/>
        <v>63</v>
      </c>
      <c r="J72" s="17" t="s">
        <v>402</v>
      </c>
    </row>
    <row r="73" spans="1:10" s="19" customFormat="1" x14ac:dyDescent="0.55000000000000004">
      <c r="A73" s="18">
        <f t="shared" si="6"/>
        <v>44285</v>
      </c>
      <c r="B73" s="26" t="s">
        <v>405</v>
      </c>
      <c r="C73" s="26">
        <v>22</v>
      </c>
      <c r="D73" s="26">
        <v>1</v>
      </c>
      <c r="F73" s="19" t="s">
        <v>406</v>
      </c>
      <c r="G73" s="19">
        <v>72</v>
      </c>
      <c r="H73" s="26">
        <v>64</v>
      </c>
      <c r="I73" s="30">
        <f t="shared" si="5"/>
        <v>66</v>
      </c>
      <c r="J73" s="19" t="s">
        <v>402</v>
      </c>
    </row>
    <row r="74" spans="1:10" x14ac:dyDescent="0.55000000000000004">
      <c r="A74" s="8">
        <f t="shared" si="6"/>
        <v>44286</v>
      </c>
      <c r="B74" s="20" t="s">
        <v>412</v>
      </c>
      <c r="C74" s="20">
        <v>23</v>
      </c>
      <c r="D74" s="20">
        <v>1</v>
      </c>
      <c r="F74" t="s">
        <v>414</v>
      </c>
      <c r="G74">
        <f>G73+1</f>
        <v>73</v>
      </c>
      <c r="H74" s="20">
        <v>65</v>
      </c>
      <c r="I74" s="9">
        <f t="shared" si="5"/>
        <v>69</v>
      </c>
      <c r="J74" t="s">
        <v>415</v>
      </c>
    </row>
    <row r="75" spans="1:10" s="17" customFormat="1" x14ac:dyDescent="0.55000000000000004">
      <c r="A75" s="16">
        <v>44286</v>
      </c>
      <c r="B75" s="23" t="s">
        <v>413</v>
      </c>
      <c r="C75" s="23">
        <v>23</v>
      </c>
      <c r="D75" s="23">
        <v>2</v>
      </c>
      <c r="F75" s="17" t="s">
        <v>414</v>
      </c>
      <c r="G75" s="17">
        <f>G74+1</f>
        <v>74</v>
      </c>
      <c r="H75" s="23">
        <v>66</v>
      </c>
      <c r="I75" s="29">
        <f t="shared" si="5"/>
        <v>69</v>
      </c>
      <c r="J75" s="17" t="s">
        <v>415</v>
      </c>
    </row>
    <row r="76" spans="1:10" s="19" customFormat="1" x14ac:dyDescent="0.55000000000000004">
      <c r="A76" s="18">
        <f t="shared" si="6"/>
        <v>44287</v>
      </c>
      <c r="B76" s="26" t="s">
        <v>421</v>
      </c>
      <c r="C76" s="26">
        <v>24</v>
      </c>
      <c r="D76" s="26">
        <v>1</v>
      </c>
      <c r="F76" s="19" t="s">
        <v>422</v>
      </c>
      <c r="G76" s="19">
        <v>75</v>
      </c>
      <c r="H76" s="26">
        <v>67</v>
      </c>
      <c r="I76" s="30">
        <f t="shared" si="5"/>
        <v>72</v>
      </c>
      <c r="J76" s="19" t="s">
        <v>423</v>
      </c>
    </row>
    <row r="77" spans="1:10" x14ac:dyDescent="0.55000000000000004">
      <c r="A77" s="8">
        <f t="shared" si="6"/>
        <v>44288</v>
      </c>
      <c r="B77" s="20" t="s">
        <v>424</v>
      </c>
      <c r="C77" s="20">
        <v>25</v>
      </c>
      <c r="D77" s="20">
        <v>1</v>
      </c>
      <c r="E77" t="s">
        <v>432</v>
      </c>
      <c r="F77" t="s">
        <v>431</v>
      </c>
      <c r="G77">
        <f>G76+1</f>
        <v>76</v>
      </c>
      <c r="H77" s="20">
        <v>68</v>
      </c>
      <c r="I77" s="9">
        <f t="shared" si="5"/>
        <v>75</v>
      </c>
      <c r="J77" t="s">
        <v>430</v>
      </c>
    </row>
    <row r="78" spans="1:10" x14ac:dyDescent="0.55000000000000004">
      <c r="A78" s="8">
        <v>44288</v>
      </c>
      <c r="B78" s="20" t="s">
        <v>426</v>
      </c>
      <c r="C78" s="20">
        <v>25</v>
      </c>
      <c r="D78" s="20">
        <v>2</v>
      </c>
      <c r="E78" t="s">
        <v>433</v>
      </c>
      <c r="F78" t="s">
        <v>431</v>
      </c>
      <c r="G78">
        <f t="shared" ref="G78:G108" si="7">G77+1</f>
        <v>77</v>
      </c>
      <c r="H78" s="20">
        <v>69</v>
      </c>
      <c r="I78" s="9">
        <f t="shared" si="5"/>
        <v>75</v>
      </c>
      <c r="J78" t="s">
        <v>430</v>
      </c>
    </row>
    <row r="79" spans="1:10" x14ac:dyDescent="0.55000000000000004">
      <c r="A79" s="8">
        <v>44288</v>
      </c>
      <c r="B79" s="20" t="s">
        <v>425</v>
      </c>
      <c r="C79" s="20">
        <v>25</v>
      </c>
      <c r="D79" s="20">
        <v>3</v>
      </c>
      <c r="E79" t="s">
        <v>434</v>
      </c>
      <c r="F79" t="s">
        <v>431</v>
      </c>
      <c r="G79">
        <f t="shared" si="7"/>
        <v>78</v>
      </c>
      <c r="H79" s="20">
        <v>69</v>
      </c>
      <c r="I79" s="9">
        <f t="shared" si="5"/>
        <v>75</v>
      </c>
      <c r="J79" t="s">
        <v>430</v>
      </c>
    </row>
    <row r="80" spans="1:10" x14ac:dyDescent="0.55000000000000004">
      <c r="A80" s="8">
        <v>44288</v>
      </c>
      <c r="B80" s="20" t="s">
        <v>427</v>
      </c>
      <c r="C80" s="20">
        <v>25</v>
      </c>
      <c r="D80" s="20">
        <v>4</v>
      </c>
      <c r="E80" t="s">
        <v>435</v>
      </c>
      <c r="F80" t="s">
        <v>431</v>
      </c>
      <c r="G80">
        <f t="shared" si="7"/>
        <v>79</v>
      </c>
      <c r="H80" s="20">
        <v>69</v>
      </c>
      <c r="I80" s="9">
        <f t="shared" si="5"/>
        <v>75</v>
      </c>
      <c r="J80" t="s">
        <v>430</v>
      </c>
    </row>
    <row r="81" spans="1:10" x14ac:dyDescent="0.55000000000000004">
      <c r="A81" s="8">
        <v>44288</v>
      </c>
      <c r="B81" s="20" t="s">
        <v>428</v>
      </c>
      <c r="C81" s="20">
        <v>25</v>
      </c>
      <c r="D81" s="20">
        <v>5</v>
      </c>
      <c r="E81" t="s">
        <v>436</v>
      </c>
      <c r="F81" t="s">
        <v>431</v>
      </c>
      <c r="G81">
        <f t="shared" si="7"/>
        <v>80</v>
      </c>
      <c r="H81" s="20">
        <v>70</v>
      </c>
      <c r="I81" s="9">
        <f t="shared" si="5"/>
        <v>75</v>
      </c>
      <c r="J81" t="s">
        <v>430</v>
      </c>
    </row>
    <row r="82" spans="1:10" s="17" customFormat="1" x14ac:dyDescent="0.55000000000000004">
      <c r="A82" s="16">
        <v>44288</v>
      </c>
      <c r="B82" s="23" t="s">
        <v>429</v>
      </c>
      <c r="C82" s="23">
        <v>25</v>
      </c>
      <c r="D82" s="23">
        <v>6</v>
      </c>
      <c r="E82" s="17" t="s">
        <v>437</v>
      </c>
      <c r="F82" s="17" t="s">
        <v>431</v>
      </c>
      <c r="G82" s="17">
        <f t="shared" si="7"/>
        <v>81</v>
      </c>
      <c r="H82" s="23">
        <v>71</v>
      </c>
      <c r="I82" s="29">
        <f t="shared" si="5"/>
        <v>75</v>
      </c>
      <c r="J82" s="17" t="s">
        <v>430</v>
      </c>
    </row>
    <row r="83" spans="1:10" x14ac:dyDescent="0.55000000000000004">
      <c r="A83" s="8">
        <f t="shared" si="6"/>
        <v>44289</v>
      </c>
      <c r="B83" s="20" t="s">
        <v>454</v>
      </c>
      <c r="C83" s="20">
        <v>26</v>
      </c>
      <c r="D83" s="20">
        <v>1</v>
      </c>
      <c r="F83" t="s">
        <v>459</v>
      </c>
      <c r="G83">
        <f t="shared" si="7"/>
        <v>82</v>
      </c>
      <c r="H83" s="20">
        <v>72</v>
      </c>
      <c r="I83" s="9">
        <f t="shared" si="5"/>
        <v>78</v>
      </c>
      <c r="J83" t="s">
        <v>461</v>
      </c>
    </row>
    <row r="84" spans="1:10" s="17" customFormat="1" x14ac:dyDescent="0.55000000000000004">
      <c r="A84" s="16">
        <v>44289</v>
      </c>
      <c r="B84" s="23" t="s">
        <v>456</v>
      </c>
      <c r="C84" s="23">
        <v>26</v>
      </c>
      <c r="D84" s="23">
        <v>2</v>
      </c>
      <c r="E84" s="17" t="s">
        <v>458</v>
      </c>
      <c r="F84" s="17" t="s">
        <v>459</v>
      </c>
      <c r="G84" s="17">
        <f t="shared" si="7"/>
        <v>83</v>
      </c>
      <c r="H84" s="23">
        <v>73</v>
      </c>
      <c r="I84" s="29">
        <f t="shared" si="5"/>
        <v>78</v>
      </c>
      <c r="J84" s="17" t="s">
        <v>461</v>
      </c>
    </row>
    <row r="85" spans="1:10" x14ac:dyDescent="0.55000000000000004">
      <c r="A85" s="8">
        <f t="shared" si="6"/>
        <v>44290</v>
      </c>
      <c r="B85" s="20" t="s">
        <v>457</v>
      </c>
      <c r="C85" s="20">
        <v>27</v>
      </c>
      <c r="D85" s="20">
        <v>1</v>
      </c>
      <c r="F85" t="s">
        <v>460</v>
      </c>
      <c r="G85">
        <f t="shared" si="7"/>
        <v>84</v>
      </c>
      <c r="H85" s="20">
        <v>74</v>
      </c>
      <c r="I85" s="9">
        <f t="shared" si="5"/>
        <v>81</v>
      </c>
      <c r="J85" t="s">
        <v>461</v>
      </c>
    </row>
    <row r="86" spans="1:10" s="17" customFormat="1" x14ac:dyDescent="0.55000000000000004">
      <c r="A86" s="16">
        <v>44290</v>
      </c>
      <c r="B86" s="23" t="s">
        <v>455</v>
      </c>
      <c r="C86" s="23">
        <v>27</v>
      </c>
      <c r="D86" s="23">
        <v>2</v>
      </c>
      <c r="E86" s="17" t="s">
        <v>458</v>
      </c>
      <c r="F86" s="17" t="s">
        <v>460</v>
      </c>
      <c r="G86" s="17">
        <f t="shared" si="7"/>
        <v>85</v>
      </c>
      <c r="H86" s="23">
        <v>74</v>
      </c>
      <c r="I86" s="29">
        <f t="shared" si="5"/>
        <v>81</v>
      </c>
      <c r="J86" s="17" t="s">
        <v>461</v>
      </c>
    </row>
    <row r="87" spans="1:10" x14ac:dyDescent="0.55000000000000004">
      <c r="A87" s="8">
        <f t="shared" si="6"/>
        <v>44291</v>
      </c>
      <c r="B87" s="20" t="s">
        <v>215</v>
      </c>
      <c r="C87" s="20">
        <v>28</v>
      </c>
      <c r="D87" s="20">
        <v>1</v>
      </c>
      <c r="E87" t="s">
        <v>466</v>
      </c>
      <c r="G87">
        <f t="shared" si="7"/>
        <v>86</v>
      </c>
      <c r="H87" s="20">
        <v>74</v>
      </c>
      <c r="I87" s="9">
        <f t="shared" si="5"/>
        <v>84</v>
      </c>
      <c r="J87" t="s">
        <v>344</v>
      </c>
    </row>
    <row r="88" spans="1:10" x14ac:dyDescent="0.55000000000000004">
      <c r="A88" s="8">
        <v>44291</v>
      </c>
      <c r="B88" s="20" t="s">
        <v>462</v>
      </c>
      <c r="C88" s="20">
        <v>28</v>
      </c>
      <c r="D88" s="20">
        <v>2</v>
      </c>
      <c r="E88" t="s">
        <v>467</v>
      </c>
      <c r="G88">
        <f t="shared" si="7"/>
        <v>87</v>
      </c>
      <c r="H88" s="20">
        <v>74</v>
      </c>
      <c r="I88" s="9">
        <f t="shared" si="5"/>
        <v>84</v>
      </c>
      <c r="J88" t="s">
        <v>344</v>
      </c>
    </row>
    <row r="89" spans="1:10" x14ac:dyDescent="0.55000000000000004">
      <c r="A89" s="8">
        <v>44291</v>
      </c>
      <c r="B89" s="20" t="s">
        <v>463</v>
      </c>
      <c r="C89" s="20">
        <v>28</v>
      </c>
      <c r="D89" s="20">
        <v>3</v>
      </c>
      <c r="E89" t="s">
        <v>225</v>
      </c>
      <c r="G89">
        <f t="shared" si="7"/>
        <v>88</v>
      </c>
      <c r="H89" s="20">
        <v>75</v>
      </c>
      <c r="I89" s="9">
        <f t="shared" si="5"/>
        <v>84</v>
      </c>
      <c r="J89" t="s">
        <v>344</v>
      </c>
    </row>
    <row r="90" spans="1:10" x14ac:dyDescent="0.55000000000000004">
      <c r="A90" s="8">
        <v>44291</v>
      </c>
      <c r="B90" s="20" t="s">
        <v>464</v>
      </c>
      <c r="C90" s="20">
        <v>28</v>
      </c>
      <c r="D90" s="20">
        <v>4</v>
      </c>
      <c r="E90" t="s">
        <v>468</v>
      </c>
      <c r="G90">
        <f t="shared" si="7"/>
        <v>89</v>
      </c>
      <c r="H90" s="20">
        <v>75</v>
      </c>
      <c r="I90" s="9">
        <f t="shared" si="5"/>
        <v>84</v>
      </c>
      <c r="J90" t="s">
        <v>344</v>
      </c>
    </row>
    <row r="91" spans="1:10" s="17" customFormat="1" x14ac:dyDescent="0.55000000000000004">
      <c r="A91" s="16">
        <v>44291</v>
      </c>
      <c r="B91" s="23" t="s">
        <v>465</v>
      </c>
      <c r="C91" s="23">
        <v>28</v>
      </c>
      <c r="D91" s="23">
        <v>5</v>
      </c>
      <c r="E91" s="17" t="s">
        <v>469</v>
      </c>
      <c r="G91" s="17">
        <f t="shared" si="7"/>
        <v>90</v>
      </c>
      <c r="H91" s="23">
        <v>76</v>
      </c>
      <c r="I91" s="29">
        <f t="shared" si="5"/>
        <v>84</v>
      </c>
      <c r="J91" s="17" t="s">
        <v>344</v>
      </c>
    </row>
    <row r="92" spans="1:10" x14ac:dyDescent="0.55000000000000004">
      <c r="A92" s="8">
        <f t="shared" si="6"/>
        <v>44292</v>
      </c>
      <c r="B92" s="20" t="s">
        <v>470</v>
      </c>
      <c r="C92" s="20">
        <v>29</v>
      </c>
      <c r="D92" s="20">
        <v>1</v>
      </c>
      <c r="E92" t="s">
        <v>473</v>
      </c>
      <c r="F92" t="s">
        <v>476</v>
      </c>
      <c r="G92">
        <f t="shared" si="7"/>
        <v>91</v>
      </c>
      <c r="H92" s="20">
        <v>76</v>
      </c>
      <c r="I92" s="9">
        <f t="shared" si="5"/>
        <v>87</v>
      </c>
      <c r="J92" t="s">
        <v>344</v>
      </c>
    </row>
    <row r="93" spans="1:10" x14ac:dyDescent="0.55000000000000004">
      <c r="A93" s="8">
        <v>44292</v>
      </c>
      <c r="B93" s="20" t="s">
        <v>471</v>
      </c>
      <c r="C93" s="20">
        <v>29</v>
      </c>
      <c r="D93" s="20">
        <v>2</v>
      </c>
      <c r="E93" t="s">
        <v>474</v>
      </c>
      <c r="F93" t="s">
        <v>476</v>
      </c>
      <c r="G93">
        <f t="shared" si="7"/>
        <v>92</v>
      </c>
      <c r="H93" s="20">
        <v>76</v>
      </c>
      <c r="I93" s="9">
        <f t="shared" si="5"/>
        <v>87</v>
      </c>
      <c r="J93" t="s">
        <v>344</v>
      </c>
    </row>
    <row r="94" spans="1:10" x14ac:dyDescent="0.55000000000000004">
      <c r="A94" s="8">
        <v>44292</v>
      </c>
      <c r="B94" s="20" t="s">
        <v>472</v>
      </c>
      <c r="C94" s="20">
        <v>29</v>
      </c>
      <c r="D94" s="20">
        <v>3</v>
      </c>
      <c r="E94" t="s">
        <v>475</v>
      </c>
      <c r="F94" t="s">
        <v>476</v>
      </c>
      <c r="G94">
        <f t="shared" si="7"/>
        <v>93</v>
      </c>
      <c r="H94">
        <v>77</v>
      </c>
      <c r="I94" s="9">
        <f t="shared" si="5"/>
        <v>87</v>
      </c>
      <c r="J94" t="s">
        <v>344</v>
      </c>
    </row>
    <row r="95" spans="1:10" x14ac:dyDescent="0.55000000000000004">
      <c r="A95" s="8">
        <f t="shared" si="6"/>
        <v>44293</v>
      </c>
      <c r="G95">
        <f t="shared" si="7"/>
        <v>94</v>
      </c>
      <c r="I95" s="9">
        <f t="shared" si="5"/>
        <v>90</v>
      </c>
    </row>
    <row r="96" spans="1:10" x14ac:dyDescent="0.55000000000000004">
      <c r="A96" s="8">
        <f t="shared" si="6"/>
        <v>44294</v>
      </c>
      <c r="G96">
        <f t="shared" si="7"/>
        <v>95</v>
      </c>
      <c r="I96" s="9">
        <f t="shared" si="5"/>
        <v>93</v>
      </c>
    </row>
    <row r="97" spans="1:9" x14ac:dyDescent="0.55000000000000004">
      <c r="A97" s="8">
        <f t="shared" si="6"/>
        <v>44295</v>
      </c>
      <c r="G97">
        <f t="shared" si="7"/>
        <v>96</v>
      </c>
      <c r="I97" s="9">
        <f t="shared" si="5"/>
        <v>96</v>
      </c>
    </row>
    <row r="98" spans="1:9" x14ac:dyDescent="0.55000000000000004">
      <c r="A98" s="8">
        <f t="shared" si="6"/>
        <v>44296</v>
      </c>
      <c r="G98">
        <f t="shared" si="7"/>
        <v>97</v>
      </c>
      <c r="I98" s="9">
        <f t="shared" si="5"/>
        <v>99</v>
      </c>
    </row>
    <row r="99" spans="1:9" x14ac:dyDescent="0.55000000000000004">
      <c r="A99" s="8">
        <f t="shared" si="6"/>
        <v>44297</v>
      </c>
      <c r="G99">
        <f t="shared" si="7"/>
        <v>98</v>
      </c>
      <c r="I99" s="9">
        <f t="shared" si="5"/>
        <v>102</v>
      </c>
    </row>
    <row r="100" spans="1:9" x14ac:dyDescent="0.55000000000000004">
      <c r="A100" s="8">
        <f t="shared" si="6"/>
        <v>44298</v>
      </c>
      <c r="G100">
        <f t="shared" si="7"/>
        <v>99</v>
      </c>
      <c r="I100" s="9">
        <f t="shared" si="5"/>
        <v>105</v>
      </c>
    </row>
    <row r="101" spans="1:9" x14ac:dyDescent="0.55000000000000004">
      <c r="A101" s="8">
        <f t="shared" si="6"/>
        <v>44299</v>
      </c>
      <c r="G101">
        <f t="shared" si="7"/>
        <v>100</v>
      </c>
      <c r="I101" s="9">
        <f t="shared" si="5"/>
        <v>108</v>
      </c>
    </row>
    <row r="102" spans="1:9" x14ac:dyDescent="0.55000000000000004">
      <c r="A102" s="8">
        <f t="shared" si="6"/>
        <v>44300</v>
      </c>
      <c r="G102">
        <f t="shared" si="7"/>
        <v>101</v>
      </c>
      <c r="I102" s="9">
        <f t="shared" si="5"/>
        <v>111</v>
      </c>
    </row>
    <row r="103" spans="1:9" x14ac:dyDescent="0.55000000000000004">
      <c r="A103" s="8">
        <f t="shared" si="6"/>
        <v>44301</v>
      </c>
      <c r="G103">
        <f t="shared" si="7"/>
        <v>102</v>
      </c>
      <c r="I103" s="9">
        <f t="shared" si="5"/>
        <v>114</v>
      </c>
    </row>
    <row r="104" spans="1:9" x14ac:dyDescent="0.55000000000000004">
      <c r="A104" s="8">
        <f t="shared" si="6"/>
        <v>44302</v>
      </c>
      <c r="G104">
        <f t="shared" si="7"/>
        <v>103</v>
      </c>
      <c r="I104" s="9">
        <f t="shared" si="5"/>
        <v>117</v>
      </c>
    </row>
    <row r="105" spans="1:9" x14ac:dyDescent="0.55000000000000004">
      <c r="A105" s="8">
        <f t="shared" si="6"/>
        <v>44303</v>
      </c>
      <c r="G105">
        <f t="shared" si="7"/>
        <v>104</v>
      </c>
      <c r="I105" s="9">
        <f t="shared" si="5"/>
        <v>120</v>
      </c>
    </row>
    <row r="106" spans="1:9" x14ac:dyDescent="0.55000000000000004">
      <c r="A106" s="8">
        <f t="shared" si="6"/>
        <v>44304</v>
      </c>
      <c r="G106">
        <f t="shared" si="7"/>
        <v>105</v>
      </c>
      <c r="I106" s="9">
        <f t="shared" si="5"/>
        <v>123</v>
      </c>
    </row>
    <row r="107" spans="1:9" x14ac:dyDescent="0.55000000000000004">
      <c r="A107" s="8">
        <f t="shared" si="6"/>
        <v>44305</v>
      </c>
      <c r="G107">
        <f t="shared" si="7"/>
        <v>106</v>
      </c>
      <c r="I107" s="9">
        <f t="shared" si="5"/>
        <v>126</v>
      </c>
    </row>
    <row r="108" spans="1:9" x14ac:dyDescent="0.55000000000000004">
      <c r="A108" s="8">
        <f t="shared" si="6"/>
        <v>44306</v>
      </c>
      <c r="G108">
        <f t="shared" si="7"/>
        <v>107</v>
      </c>
      <c r="I108" s="9">
        <f t="shared" si="5"/>
        <v>129</v>
      </c>
    </row>
    <row r="109" spans="1:9" x14ac:dyDescent="0.55000000000000004">
      <c r="A109" s="8">
        <f t="shared" si="6"/>
        <v>44307</v>
      </c>
      <c r="I109" s="9">
        <f t="shared" si="5"/>
        <v>132</v>
      </c>
    </row>
    <row r="110" spans="1:9" x14ac:dyDescent="0.55000000000000004">
      <c r="A110" s="8">
        <f t="shared" si="6"/>
        <v>44308</v>
      </c>
      <c r="I110" s="9">
        <f t="shared" si="5"/>
        <v>135</v>
      </c>
    </row>
    <row r="111" spans="1:9" x14ac:dyDescent="0.55000000000000004">
      <c r="A111" s="8">
        <f t="shared" si="6"/>
        <v>44309</v>
      </c>
      <c r="I111" s="9">
        <f t="shared" si="5"/>
        <v>138</v>
      </c>
    </row>
    <row r="112" spans="1:9" x14ac:dyDescent="0.55000000000000004">
      <c r="A112" s="8">
        <f t="shared" si="6"/>
        <v>44310</v>
      </c>
      <c r="I112" s="9">
        <f t="shared" si="5"/>
        <v>141</v>
      </c>
    </row>
    <row r="113" spans="1:9" x14ac:dyDescent="0.55000000000000004">
      <c r="A113" s="8">
        <f t="shared" si="6"/>
        <v>44311</v>
      </c>
      <c r="I113" s="9">
        <f t="shared" si="5"/>
        <v>144</v>
      </c>
    </row>
    <row r="114" spans="1:9" x14ac:dyDescent="0.55000000000000004">
      <c r="A114" s="8">
        <f t="shared" si="6"/>
        <v>44312</v>
      </c>
      <c r="I114" s="9">
        <f t="shared" si="5"/>
        <v>147</v>
      </c>
    </row>
    <row r="115" spans="1:9" x14ac:dyDescent="0.55000000000000004">
      <c r="A115" s="8">
        <f t="shared" si="6"/>
        <v>44313</v>
      </c>
      <c r="I115" s="9">
        <f t="shared" si="5"/>
        <v>150</v>
      </c>
    </row>
    <row r="116" spans="1:9" x14ac:dyDescent="0.55000000000000004">
      <c r="A116" s="8">
        <f t="shared" si="6"/>
        <v>44314</v>
      </c>
      <c r="I116" s="9">
        <f t="shared" si="5"/>
        <v>153</v>
      </c>
    </row>
    <row r="117" spans="1:9" x14ac:dyDescent="0.55000000000000004">
      <c r="A117" s="8">
        <f t="shared" si="6"/>
        <v>44315</v>
      </c>
      <c r="I117" s="9">
        <f t="shared" si="5"/>
        <v>156</v>
      </c>
    </row>
    <row r="118" spans="1:9" x14ac:dyDescent="0.55000000000000004">
      <c r="A118" s="8">
        <f t="shared" si="6"/>
        <v>44316</v>
      </c>
      <c r="I118" s="9">
        <f t="shared" si="5"/>
        <v>159</v>
      </c>
    </row>
    <row r="119" spans="1:9" x14ac:dyDescent="0.55000000000000004">
      <c r="A119" s="8">
        <f t="shared" si="6"/>
        <v>44317</v>
      </c>
      <c r="I119" s="9">
        <f t="shared" si="5"/>
        <v>162</v>
      </c>
    </row>
    <row r="120" spans="1:9" x14ac:dyDescent="0.55000000000000004">
      <c r="A120" s="8">
        <f t="shared" si="6"/>
        <v>44318</v>
      </c>
      <c r="I120" s="9">
        <f t="shared" si="5"/>
        <v>165</v>
      </c>
    </row>
    <row r="121" spans="1:9" x14ac:dyDescent="0.55000000000000004">
      <c r="A121" s="8">
        <f t="shared" si="6"/>
        <v>44319</v>
      </c>
      <c r="I121" s="9">
        <f t="shared" si="5"/>
        <v>168</v>
      </c>
    </row>
    <row r="122" spans="1:9" x14ac:dyDescent="0.55000000000000004">
      <c r="A122" s="8">
        <f t="shared" si="6"/>
        <v>44320</v>
      </c>
      <c r="I122" s="9">
        <f t="shared" si="5"/>
        <v>171</v>
      </c>
    </row>
    <row r="123" spans="1:9" x14ac:dyDescent="0.55000000000000004">
      <c r="A123" s="8">
        <f t="shared" si="6"/>
        <v>44321</v>
      </c>
      <c r="I123" s="9">
        <f t="shared" si="5"/>
        <v>174</v>
      </c>
    </row>
    <row r="124" spans="1:9" x14ac:dyDescent="0.55000000000000004">
      <c r="A124" s="8">
        <f t="shared" si="6"/>
        <v>44322</v>
      </c>
      <c r="I124" s="9">
        <f t="shared" si="5"/>
        <v>177</v>
      </c>
    </row>
    <row r="125" spans="1:9" x14ac:dyDescent="0.55000000000000004">
      <c r="A125" s="8">
        <f t="shared" si="6"/>
        <v>44323</v>
      </c>
      <c r="I125" s="9">
        <f t="shared" si="5"/>
        <v>180</v>
      </c>
    </row>
    <row r="126" spans="1:9" x14ac:dyDescent="0.55000000000000004">
      <c r="A126" s="8">
        <f t="shared" si="6"/>
        <v>44324</v>
      </c>
      <c r="I126" s="9">
        <f t="shared" si="5"/>
        <v>183</v>
      </c>
    </row>
    <row r="127" spans="1:9" x14ac:dyDescent="0.55000000000000004">
      <c r="A127" s="8">
        <f t="shared" si="6"/>
        <v>44325</v>
      </c>
      <c r="I127" s="9">
        <f t="shared" si="5"/>
        <v>186</v>
      </c>
    </row>
    <row r="128" spans="1:9" x14ac:dyDescent="0.55000000000000004">
      <c r="A128" s="8">
        <f t="shared" si="6"/>
        <v>44326</v>
      </c>
      <c r="I128" s="9">
        <f t="shared" si="5"/>
        <v>189</v>
      </c>
    </row>
    <row r="129" spans="1:9" x14ac:dyDescent="0.55000000000000004">
      <c r="A129" s="8">
        <f t="shared" si="6"/>
        <v>44327</v>
      </c>
      <c r="I129" s="9">
        <f t="shared" si="5"/>
        <v>192</v>
      </c>
    </row>
    <row r="130" spans="1:9" x14ac:dyDescent="0.55000000000000004">
      <c r="A130" s="8">
        <f t="shared" si="6"/>
        <v>44328</v>
      </c>
      <c r="I130" s="9">
        <f t="shared" si="5"/>
        <v>195</v>
      </c>
    </row>
    <row r="131" spans="1:9" x14ac:dyDescent="0.55000000000000004">
      <c r="A131" s="8">
        <f t="shared" si="6"/>
        <v>44329</v>
      </c>
      <c r="I131" s="9">
        <f t="shared" ref="I131:I194" si="8">( A131-DATE(2021,3,8) )*3</f>
        <v>198</v>
      </c>
    </row>
    <row r="132" spans="1:9" x14ac:dyDescent="0.55000000000000004">
      <c r="A132" s="8">
        <f t="shared" si="6"/>
        <v>44330</v>
      </c>
      <c r="I132" s="9">
        <f t="shared" si="8"/>
        <v>201</v>
      </c>
    </row>
    <row r="133" spans="1:9" x14ac:dyDescent="0.55000000000000004">
      <c r="A133" s="8">
        <f t="shared" ref="A133:A196" si="9">A132+1</f>
        <v>44331</v>
      </c>
      <c r="I133" s="9">
        <f t="shared" si="8"/>
        <v>204</v>
      </c>
    </row>
    <row r="134" spans="1:9" x14ac:dyDescent="0.55000000000000004">
      <c r="A134" s="8">
        <f t="shared" si="9"/>
        <v>44332</v>
      </c>
      <c r="I134" s="9">
        <f t="shared" si="8"/>
        <v>207</v>
      </c>
    </row>
    <row r="135" spans="1:9" x14ac:dyDescent="0.55000000000000004">
      <c r="A135" s="8">
        <f t="shared" si="9"/>
        <v>44333</v>
      </c>
      <c r="I135" s="9">
        <f t="shared" si="8"/>
        <v>210</v>
      </c>
    </row>
    <row r="136" spans="1:9" x14ac:dyDescent="0.55000000000000004">
      <c r="A136" s="8">
        <f t="shared" si="9"/>
        <v>44334</v>
      </c>
      <c r="I136" s="9">
        <f t="shared" si="8"/>
        <v>213</v>
      </c>
    </row>
    <row r="137" spans="1:9" x14ac:dyDescent="0.55000000000000004">
      <c r="A137" s="8">
        <f t="shared" si="9"/>
        <v>44335</v>
      </c>
      <c r="I137" s="9">
        <f t="shared" si="8"/>
        <v>216</v>
      </c>
    </row>
    <row r="138" spans="1:9" x14ac:dyDescent="0.55000000000000004">
      <c r="A138" s="8">
        <f t="shared" si="9"/>
        <v>44336</v>
      </c>
      <c r="I138" s="9">
        <f t="shared" si="8"/>
        <v>219</v>
      </c>
    </row>
    <row r="139" spans="1:9" x14ac:dyDescent="0.55000000000000004">
      <c r="A139" s="8">
        <f t="shared" si="9"/>
        <v>44337</v>
      </c>
      <c r="I139" s="9">
        <f t="shared" si="8"/>
        <v>222</v>
      </c>
    </row>
    <row r="140" spans="1:9" x14ac:dyDescent="0.55000000000000004">
      <c r="A140" s="8">
        <f t="shared" si="9"/>
        <v>44338</v>
      </c>
      <c r="I140" s="9">
        <f t="shared" si="8"/>
        <v>225</v>
      </c>
    </row>
    <row r="141" spans="1:9" x14ac:dyDescent="0.55000000000000004">
      <c r="A141" s="8">
        <f t="shared" si="9"/>
        <v>44339</v>
      </c>
      <c r="I141" s="9">
        <f t="shared" si="8"/>
        <v>228</v>
      </c>
    </row>
    <row r="142" spans="1:9" x14ac:dyDescent="0.55000000000000004">
      <c r="A142" s="8">
        <f t="shared" si="9"/>
        <v>44340</v>
      </c>
      <c r="I142" s="9">
        <f t="shared" si="8"/>
        <v>231</v>
      </c>
    </row>
    <row r="143" spans="1:9" x14ac:dyDescent="0.55000000000000004">
      <c r="A143" s="8">
        <f t="shared" si="9"/>
        <v>44341</v>
      </c>
      <c r="I143" s="9">
        <f t="shared" si="8"/>
        <v>234</v>
      </c>
    </row>
    <row r="144" spans="1:9" x14ac:dyDescent="0.55000000000000004">
      <c r="A144" s="8">
        <f t="shared" si="9"/>
        <v>44342</v>
      </c>
      <c r="I144" s="9">
        <f t="shared" si="8"/>
        <v>237</v>
      </c>
    </row>
    <row r="145" spans="1:9" x14ac:dyDescent="0.55000000000000004">
      <c r="A145" s="8">
        <f t="shared" si="9"/>
        <v>44343</v>
      </c>
      <c r="I145" s="9">
        <f t="shared" si="8"/>
        <v>240</v>
      </c>
    </row>
    <row r="146" spans="1:9" x14ac:dyDescent="0.55000000000000004">
      <c r="A146" s="8">
        <f t="shared" si="9"/>
        <v>44344</v>
      </c>
      <c r="I146" s="9">
        <f t="shared" si="8"/>
        <v>243</v>
      </c>
    </row>
    <row r="147" spans="1:9" x14ac:dyDescent="0.55000000000000004">
      <c r="A147" s="8">
        <f t="shared" si="9"/>
        <v>44345</v>
      </c>
      <c r="I147" s="9">
        <f t="shared" si="8"/>
        <v>246</v>
      </c>
    </row>
    <row r="148" spans="1:9" x14ac:dyDescent="0.55000000000000004">
      <c r="A148" s="8">
        <f t="shared" si="9"/>
        <v>44346</v>
      </c>
      <c r="I148" s="9">
        <f t="shared" si="8"/>
        <v>249</v>
      </c>
    </row>
    <row r="149" spans="1:9" x14ac:dyDescent="0.55000000000000004">
      <c r="A149" s="8">
        <f t="shared" si="9"/>
        <v>44347</v>
      </c>
      <c r="I149" s="9">
        <f t="shared" si="8"/>
        <v>252</v>
      </c>
    </row>
    <row r="150" spans="1:9" x14ac:dyDescent="0.55000000000000004">
      <c r="A150" s="8">
        <f t="shared" si="9"/>
        <v>44348</v>
      </c>
      <c r="I150" s="9">
        <f t="shared" si="8"/>
        <v>255</v>
      </c>
    </row>
    <row r="151" spans="1:9" x14ac:dyDescent="0.55000000000000004">
      <c r="A151" s="8">
        <f t="shared" si="9"/>
        <v>44349</v>
      </c>
      <c r="I151" s="9">
        <f t="shared" si="8"/>
        <v>258</v>
      </c>
    </row>
    <row r="152" spans="1:9" x14ac:dyDescent="0.55000000000000004">
      <c r="A152" s="8">
        <f t="shared" si="9"/>
        <v>44350</v>
      </c>
      <c r="I152" s="9">
        <f t="shared" si="8"/>
        <v>261</v>
      </c>
    </row>
    <row r="153" spans="1:9" x14ac:dyDescent="0.55000000000000004">
      <c r="A153" s="8">
        <f t="shared" si="9"/>
        <v>44351</v>
      </c>
      <c r="I153" s="9">
        <f t="shared" si="8"/>
        <v>264</v>
      </c>
    </row>
    <row r="154" spans="1:9" x14ac:dyDescent="0.55000000000000004">
      <c r="A154" s="8">
        <f t="shared" si="9"/>
        <v>44352</v>
      </c>
      <c r="I154" s="9">
        <f t="shared" si="8"/>
        <v>267</v>
      </c>
    </row>
    <row r="155" spans="1:9" x14ac:dyDescent="0.55000000000000004">
      <c r="A155" s="8">
        <f t="shared" si="9"/>
        <v>44353</v>
      </c>
      <c r="I155" s="9">
        <f t="shared" si="8"/>
        <v>270</v>
      </c>
    </row>
    <row r="156" spans="1:9" x14ac:dyDescent="0.55000000000000004">
      <c r="A156" s="8">
        <f t="shared" si="9"/>
        <v>44354</v>
      </c>
      <c r="I156" s="9">
        <f t="shared" si="8"/>
        <v>273</v>
      </c>
    </row>
    <row r="157" spans="1:9" x14ac:dyDescent="0.55000000000000004">
      <c r="A157" s="8">
        <f t="shared" si="9"/>
        <v>44355</v>
      </c>
      <c r="I157" s="9">
        <f t="shared" si="8"/>
        <v>276</v>
      </c>
    </row>
    <row r="158" spans="1:9" x14ac:dyDescent="0.55000000000000004">
      <c r="A158" s="8">
        <f t="shared" si="9"/>
        <v>44356</v>
      </c>
      <c r="I158" s="9">
        <f t="shared" si="8"/>
        <v>279</v>
      </c>
    </row>
    <row r="159" spans="1:9" x14ac:dyDescent="0.55000000000000004">
      <c r="A159" s="8">
        <f t="shared" si="9"/>
        <v>44357</v>
      </c>
      <c r="I159" s="9">
        <f t="shared" si="8"/>
        <v>282</v>
      </c>
    </row>
    <row r="160" spans="1:9" x14ac:dyDescent="0.55000000000000004">
      <c r="A160" s="8">
        <f t="shared" si="9"/>
        <v>44358</v>
      </c>
      <c r="I160" s="9">
        <f t="shared" si="8"/>
        <v>285</v>
      </c>
    </row>
    <row r="161" spans="1:9" x14ac:dyDescent="0.55000000000000004">
      <c r="A161" s="8">
        <f t="shared" si="9"/>
        <v>44359</v>
      </c>
      <c r="I161" s="9">
        <f t="shared" si="8"/>
        <v>288</v>
      </c>
    </row>
    <row r="162" spans="1:9" x14ac:dyDescent="0.55000000000000004">
      <c r="A162" s="8">
        <f t="shared" si="9"/>
        <v>44360</v>
      </c>
      <c r="I162" s="9">
        <f t="shared" si="8"/>
        <v>291</v>
      </c>
    </row>
    <row r="163" spans="1:9" x14ac:dyDescent="0.55000000000000004">
      <c r="A163" s="8">
        <f t="shared" si="9"/>
        <v>44361</v>
      </c>
      <c r="I163" s="9">
        <f t="shared" si="8"/>
        <v>294</v>
      </c>
    </row>
    <row r="164" spans="1:9" x14ac:dyDescent="0.55000000000000004">
      <c r="A164" s="8">
        <f t="shared" si="9"/>
        <v>44362</v>
      </c>
      <c r="I164" s="9">
        <f t="shared" si="8"/>
        <v>297</v>
      </c>
    </row>
    <row r="165" spans="1:9" x14ac:dyDescent="0.55000000000000004">
      <c r="A165" s="8">
        <f t="shared" si="9"/>
        <v>44363</v>
      </c>
      <c r="I165" s="9">
        <f t="shared" si="8"/>
        <v>300</v>
      </c>
    </row>
    <row r="166" spans="1:9" x14ac:dyDescent="0.55000000000000004">
      <c r="A166" s="8">
        <f t="shared" si="9"/>
        <v>44364</v>
      </c>
      <c r="I166" s="9">
        <f t="shared" si="8"/>
        <v>303</v>
      </c>
    </row>
    <row r="167" spans="1:9" x14ac:dyDescent="0.55000000000000004">
      <c r="A167" s="8">
        <f t="shared" si="9"/>
        <v>44365</v>
      </c>
      <c r="I167" s="9">
        <f t="shared" si="8"/>
        <v>306</v>
      </c>
    </row>
    <row r="168" spans="1:9" x14ac:dyDescent="0.55000000000000004">
      <c r="A168" s="8">
        <f t="shared" si="9"/>
        <v>44366</v>
      </c>
      <c r="I168" s="9">
        <f t="shared" si="8"/>
        <v>309</v>
      </c>
    </row>
    <row r="169" spans="1:9" x14ac:dyDescent="0.55000000000000004">
      <c r="A169" s="8">
        <f t="shared" si="9"/>
        <v>44367</v>
      </c>
      <c r="I169" s="9">
        <f t="shared" si="8"/>
        <v>312</v>
      </c>
    </row>
    <row r="170" spans="1:9" x14ac:dyDescent="0.55000000000000004">
      <c r="A170" s="8">
        <f t="shared" si="9"/>
        <v>44368</v>
      </c>
      <c r="I170" s="9">
        <f t="shared" si="8"/>
        <v>315</v>
      </c>
    </row>
    <row r="171" spans="1:9" x14ac:dyDescent="0.55000000000000004">
      <c r="A171" s="8">
        <f t="shared" si="9"/>
        <v>44369</v>
      </c>
      <c r="I171" s="9">
        <f t="shared" si="8"/>
        <v>318</v>
      </c>
    </row>
    <row r="172" spans="1:9" x14ac:dyDescent="0.55000000000000004">
      <c r="A172" s="8">
        <f t="shared" si="9"/>
        <v>44370</v>
      </c>
      <c r="I172" s="9">
        <f t="shared" si="8"/>
        <v>321</v>
      </c>
    </row>
    <row r="173" spans="1:9" x14ac:dyDescent="0.55000000000000004">
      <c r="A173" s="8">
        <f t="shared" si="9"/>
        <v>44371</v>
      </c>
      <c r="I173" s="9">
        <f t="shared" si="8"/>
        <v>324</v>
      </c>
    </row>
    <row r="174" spans="1:9" x14ac:dyDescent="0.55000000000000004">
      <c r="A174" s="8">
        <f t="shared" si="9"/>
        <v>44372</v>
      </c>
      <c r="I174" s="9">
        <f t="shared" si="8"/>
        <v>327</v>
      </c>
    </row>
    <row r="175" spans="1:9" x14ac:dyDescent="0.55000000000000004">
      <c r="A175" s="8">
        <f t="shared" si="9"/>
        <v>44373</v>
      </c>
      <c r="I175" s="9">
        <f t="shared" si="8"/>
        <v>330</v>
      </c>
    </row>
    <row r="176" spans="1:9" x14ac:dyDescent="0.55000000000000004">
      <c r="A176" s="8">
        <f t="shared" si="9"/>
        <v>44374</v>
      </c>
      <c r="I176" s="9">
        <f t="shared" si="8"/>
        <v>333</v>
      </c>
    </row>
    <row r="177" spans="1:9" x14ac:dyDescent="0.55000000000000004">
      <c r="A177" s="8">
        <f t="shared" si="9"/>
        <v>44375</v>
      </c>
      <c r="I177" s="9">
        <f t="shared" si="8"/>
        <v>336</v>
      </c>
    </row>
    <row r="178" spans="1:9" x14ac:dyDescent="0.55000000000000004">
      <c r="A178" s="8">
        <f t="shared" si="9"/>
        <v>44376</v>
      </c>
      <c r="I178" s="9">
        <f t="shared" si="8"/>
        <v>339</v>
      </c>
    </row>
    <row r="179" spans="1:9" x14ac:dyDescent="0.55000000000000004">
      <c r="A179" s="8">
        <f t="shared" si="9"/>
        <v>44377</v>
      </c>
      <c r="I179" s="9">
        <f t="shared" si="8"/>
        <v>342</v>
      </c>
    </row>
    <row r="180" spans="1:9" x14ac:dyDescent="0.55000000000000004">
      <c r="A180" s="8">
        <f t="shared" si="9"/>
        <v>44378</v>
      </c>
      <c r="I180" s="9">
        <f t="shared" si="8"/>
        <v>345</v>
      </c>
    </row>
    <row r="181" spans="1:9" x14ac:dyDescent="0.55000000000000004">
      <c r="A181" s="8">
        <f t="shared" si="9"/>
        <v>44379</v>
      </c>
      <c r="I181" s="9">
        <f t="shared" si="8"/>
        <v>348</v>
      </c>
    </row>
    <row r="182" spans="1:9" x14ac:dyDescent="0.55000000000000004">
      <c r="A182" s="8">
        <f t="shared" si="9"/>
        <v>44380</v>
      </c>
      <c r="I182" s="9">
        <f t="shared" si="8"/>
        <v>351</v>
      </c>
    </row>
    <row r="183" spans="1:9" x14ac:dyDescent="0.55000000000000004">
      <c r="A183" s="8">
        <f t="shared" si="9"/>
        <v>44381</v>
      </c>
      <c r="I183" s="9">
        <f t="shared" si="8"/>
        <v>354</v>
      </c>
    </row>
    <row r="184" spans="1:9" x14ac:dyDescent="0.55000000000000004">
      <c r="A184" s="8">
        <f t="shared" si="9"/>
        <v>44382</v>
      </c>
      <c r="I184" s="9">
        <f t="shared" si="8"/>
        <v>357</v>
      </c>
    </row>
    <row r="185" spans="1:9" x14ac:dyDescent="0.55000000000000004">
      <c r="A185" s="8">
        <f t="shared" si="9"/>
        <v>44383</v>
      </c>
      <c r="I185" s="9">
        <f t="shared" si="8"/>
        <v>360</v>
      </c>
    </row>
    <row r="186" spans="1:9" x14ac:dyDescent="0.55000000000000004">
      <c r="A186" s="8">
        <f t="shared" si="9"/>
        <v>44384</v>
      </c>
      <c r="I186" s="9">
        <f t="shared" si="8"/>
        <v>363</v>
      </c>
    </row>
    <row r="187" spans="1:9" x14ac:dyDescent="0.55000000000000004">
      <c r="A187" s="8">
        <f t="shared" si="9"/>
        <v>44385</v>
      </c>
      <c r="I187" s="9">
        <f t="shared" si="8"/>
        <v>366</v>
      </c>
    </row>
    <row r="188" spans="1:9" x14ac:dyDescent="0.55000000000000004">
      <c r="A188" s="8">
        <f t="shared" si="9"/>
        <v>44386</v>
      </c>
      <c r="I188" s="9">
        <f t="shared" si="8"/>
        <v>369</v>
      </c>
    </row>
    <row r="189" spans="1:9" x14ac:dyDescent="0.55000000000000004">
      <c r="A189" s="8">
        <f t="shared" si="9"/>
        <v>44387</v>
      </c>
      <c r="I189" s="9">
        <f t="shared" si="8"/>
        <v>372</v>
      </c>
    </row>
    <row r="190" spans="1:9" x14ac:dyDescent="0.55000000000000004">
      <c r="A190" s="8">
        <f t="shared" si="9"/>
        <v>44388</v>
      </c>
      <c r="I190" s="9">
        <f t="shared" si="8"/>
        <v>375</v>
      </c>
    </row>
    <row r="191" spans="1:9" x14ac:dyDescent="0.55000000000000004">
      <c r="A191" s="8">
        <f t="shared" si="9"/>
        <v>44389</v>
      </c>
      <c r="I191" s="9">
        <f t="shared" si="8"/>
        <v>378</v>
      </c>
    </row>
    <row r="192" spans="1:9" x14ac:dyDescent="0.55000000000000004">
      <c r="A192" s="8">
        <f t="shared" si="9"/>
        <v>44390</v>
      </c>
      <c r="I192" s="9">
        <f t="shared" si="8"/>
        <v>381</v>
      </c>
    </row>
    <row r="193" spans="1:9" x14ac:dyDescent="0.55000000000000004">
      <c r="A193" s="8">
        <f t="shared" si="9"/>
        <v>44391</v>
      </c>
      <c r="I193" s="9">
        <f t="shared" si="8"/>
        <v>384</v>
      </c>
    </row>
    <row r="194" spans="1:9" x14ac:dyDescent="0.55000000000000004">
      <c r="A194" s="8">
        <f t="shared" si="9"/>
        <v>44392</v>
      </c>
      <c r="I194" s="9">
        <f t="shared" si="8"/>
        <v>387</v>
      </c>
    </row>
    <row r="195" spans="1:9" x14ac:dyDescent="0.55000000000000004">
      <c r="A195" s="8">
        <f t="shared" si="9"/>
        <v>44393</v>
      </c>
      <c r="I195" s="9">
        <f t="shared" ref="I195:I258" si="10">( A195-DATE(2021,3,8) )*3</f>
        <v>390</v>
      </c>
    </row>
    <row r="196" spans="1:9" x14ac:dyDescent="0.55000000000000004">
      <c r="A196" s="8">
        <f t="shared" si="9"/>
        <v>44394</v>
      </c>
      <c r="I196" s="9">
        <f t="shared" si="10"/>
        <v>393</v>
      </c>
    </row>
    <row r="197" spans="1:9" x14ac:dyDescent="0.55000000000000004">
      <c r="A197" s="8">
        <f t="shared" ref="A197:A260" si="11">A196+1</f>
        <v>44395</v>
      </c>
      <c r="I197" s="9">
        <f t="shared" si="10"/>
        <v>396</v>
      </c>
    </row>
    <row r="198" spans="1:9" x14ac:dyDescent="0.55000000000000004">
      <c r="A198" s="8">
        <f t="shared" si="11"/>
        <v>44396</v>
      </c>
      <c r="I198" s="9">
        <f t="shared" si="10"/>
        <v>399</v>
      </c>
    </row>
    <row r="199" spans="1:9" x14ac:dyDescent="0.55000000000000004">
      <c r="A199" s="8">
        <f t="shared" si="11"/>
        <v>44397</v>
      </c>
      <c r="I199" s="9">
        <f t="shared" si="10"/>
        <v>402</v>
      </c>
    </row>
    <row r="200" spans="1:9" x14ac:dyDescent="0.55000000000000004">
      <c r="A200" s="8">
        <f t="shared" si="11"/>
        <v>44398</v>
      </c>
      <c r="I200" s="9">
        <f t="shared" si="10"/>
        <v>405</v>
      </c>
    </row>
    <row r="201" spans="1:9" x14ac:dyDescent="0.55000000000000004">
      <c r="A201" s="8">
        <f t="shared" si="11"/>
        <v>44399</v>
      </c>
      <c r="I201" s="9">
        <f t="shared" si="10"/>
        <v>408</v>
      </c>
    </row>
    <row r="202" spans="1:9" x14ac:dyDescent="0.55000000000000004">
      <c r="A202" s="8">
        <f t="shared" si="11"/>
        <v>44400</v>
      </c>
      <c r="I202" s="9">
        <f t="shared" si="10"/>
        <v>411</v>
      </c>
    </row>
    <row r="203" spans="1:9" x14ac:dyDescent="0.55000000000000004">
      <c r="A203" s="8">
        <f t="shared" si="11"/>
        <v>44401</v>
      </c>
      <c r="I203" s="9">
        <f t="shared" si="10"/>
        <v>414</v>
      </c>
    </row>
    <row r="204" spans="1:9" x14ac:dyDescent="0.55000000000000004">
      <c r="A204" s="8">
        <f t="shared" si="11"/>
        <v>44402</v>
      </c>
      <c r="I204" s="9">
        <f t="shared" si="10"/>
        <v>417</v>
      </c>
    </row>
    <row r="205" spans="1:9" x14ac:dyDescent="0.55000000000000004">
      <c r="A205" s="8">
        <f t="shared" si="11"/>
        <v>44403</v>
      </c>
      <c r="I205" s="9">
        <f t="shared" si="10"/>
        <v>420</v>
      </c>
    </row>
    <row r="206" spans="1:9" x14ac:dyDescent="0.55000000000000004">
      <c r="A206" s="8">
        <f t="shared" si="11"/>
        <v>44404</v>
      </c>
      <c r="I206" s="9">
        <f t="shared" si="10"/>
        <v>423</v>
      </c>
    </row>
    <row r="207" spans="1:9" x14ac:dyDescent="0.55000000000000004">
      <c r="A207" s="8">
        <f t="shared" si="11"/>
        <v>44405</v>
      </c>
      <c r="I207" s="9">
        <f t="shared" si="10"/>
        <v>426</v>
      </c>
    </row>
    <row r="208" spans="1:9" x14ac:dyDescent="0.55000000000000004">
      <c r="A208" s="8">
        <f t="shared" si="11"/>
        <v>44406</v>
      </c>
      <c r="I208" s="9">
        <f t="shared" si="10"/>
        <v>429</v>
      </c>
    </row>
    <row r="209" spans="1:9" x14ac:dyDescent="0.55000000000000004">
      <c r="A209" s="8">
        <f t="shared" si="11"/>
        <v>44407</v>
      </c>
      <c r="I209" s="9">
        <f t="shared" si="10"/>
        <v>432</v>
      </c>
    </row>
    <row r="210" spans="1:9" x14ac:dyDescent="0.55000000000000004">
      <c r="A210" s="8">
        <f t="shared" si="11"/>
        <v>44408</v>
      </c>
      <c r="I210" s="9">
        <f t="shared" si="10"/>
        <v>435</v>
      </c>
    </row>
    <row r="211" spans="1:9" x14ac:dyDescent="0.55000000000000004">
      <c r="A211" s="8">
        <f t="shared" si="11"/>
        <v>44409</v>
      </c>
      <c r="I211" s="9">
        <f t="shared" si="10"/>
        <v>438</v>
      </c>
    </row>
    <row r="212" spans="1:9" x14ac:dyDescent="0.55000000000000004">
      <c r="A212" s="8">
        <f t="shared" si="11"/>
        <v>44410</v>
      </c>
      <c r="I212" s="9">
        <f t="shared" si="10"/>
        <v>441</v>
      </c>
    </row>
    <row r="213" spans="1:9" x14ac:dyDescent="0.55000000000000004">
      <c r="A213" s="8">
        <f t="shared" si="11"/>
        <v>44411</v>
      </c>
      <c r="I213" s="9">
        <f t="shared" si="10"/>
        <v>444</v>
      </c>
    </row>
    <row r="214" spans="1:9" x14ac:dyDescent="0.55000000000000004">
      <c r="A214" s="8">
        <f t="shared" si="11"/>
        <v>44412</v>
      </c>
      <c r="I214" s="9">
        <f t="shared" si="10"/>
        <v>447</v>
      </c>
    </row>
    <row r="215" spans="1:9" x14ac:dyDescent="0.55000000000000004">
      <c r="A215" s="8">
        <f t="shared" si="11"/>
        <v>44413</v>
      </c>
      <c r="I215" s="9">
        <f t="shared" si="10"/>
        <v>450</v>
      </c>
    </row>
    <row r="216" spans="1:9" x14ac:dyDescent="0.55000000000000004">
      <c r="A216" s="8">
        <f t="shared" si="11"/>
        <v>44414</v>
      </c>
      <c r="I216" s="9">
        <f t="shared" si="10"/>
        <v>453</v>
      </c>
    </row>
    <row r="217" spans="1:9" x14ac:dyDescent="0.55000000000000004">
      <c r="A217" s="8">
        <f t="shared" si="11"/>
        <v>44415</v>
      </c>
      <c r="I217" s="9">
        <f t="shared" si="10"/>
        <v>456</v>
      </c>
    </row>
    <row r="218" spans="1:9" x14ac:dyDescent="0.55000000000000004">
      <c r="A218" s="8">
        <f t="shared" si="11"/>
        <v>44416</v>
      </c>
      <c r="I218" s="9">
        <f t="shared" si="10"/>
        <v>459</v>
      </c>
    </row>
    <row r="219" spans="1:9" x14ac:dyDescent="0.55000000000000004">
      <c r="A219" s="8">
        <f t="shared" si="11"/>
        <v>44417</v>
      </c>
      <c r="I219" s="9">
        <f t="shared" si="10"/>
        <v>462</v>
      </c>
    </row>
    <row r="220" spans="1:9" x14ac:dyDescent="0.55000000000000004">
      <c r="A220" s="8">
        <f t="shared" si="11"/>
        <v>44418</v>
      </c>
      <c r="I220" s="9">
        <f t="shared" si="10"/>
        <v>465</v>
      </c>
    </row>
    <row r="221" spans="1:9" x14ac:dyDescent="0.55000000000000004">
      <c r="A221" s="8">
        <f t="shared" si="11"/>
        <v>44419</v>
      </c>
      <c r="I221" s="9">
        <f t="shared" si="10"/>
        <v>468</v>
      </c>
    </row>
    <row r="222" spans="1:9" x14ac:dyDescent="0.55000000000000004">
      <c r="A222" s="8">
        <f t="shared" si="11"/>
        <v>44420</v>
      </c>
      <c r="I222" s="9">
        <f t="shared" si="10"/>
        <v>471</v>
      </c>
    </row>
    <row r="223" spans="1:9" x14ac:dyDescent="0.55000000000000004">
      <c r="A223" s="8">
        <f t="shared" si="11"/>
        <v>44421</v>
      </c>
      <c r="I223" s="9">
        <f t="shared" si="10"/>
        <v>474</v>
      </c>
    </row>
    <row r="224" spans="1:9" x14ac:dyDescent="0.55000000000000004">
      <c r="A224" s="8">
        <f t="shared" si="11"/>
        <v>44422</v>
      </c>
      <c r="I224" s="9">
        <f t="shared" si="10"/>
        <v>477</v>
      </c>
    </row>
    <row r="225" spans="1:9" x14ac:dyDescent="0.55000000000000004">
      <c r="A225" s="8">
        <f t="shared" si="11"/>
        <v>44423</v>
      </c>
      <c r="I225" s="9">
        <f t="shared" si="10"/>
        <v>480</v>
      </c>
    </row>
    <row r="226" spans="1:9" x14ac:dyDescent="0.55000000000000004">
      <c r="A226" s="8">
        <f t="shared" si="11"/>
        <v>44424</v>
      </c>
      <c r="I226" s="9">
        <f t="shared" si="10"/>
        <v>483</v>
      </c>
    </row>
    <row r="227" spans="1:9" x14ac:dyDescent="0.55000000000000004">
      <c r="A227" s="8">
        <f t="shared" si="11"/>
        <v>44425</v>
      </c>
      <c r="I227" s="9">
        <f t="shared" si="10"/>
        <v>486</v>
      </c>
    </row>
    <row r="228" spans="1:9" x14ac:dyDescent="0.55000000000000004">
      <c r="A228" s="8">
        <f t="shared" si="11"/>
        <v>44426</v>
      </c>
      <c r="I228" s="9">
        <f t="shared" si="10"/>
        <v>489</v>
      </c>
    </row>
    <row r="229" spans="1:9" x14ac:dyDescent="0.55000000000000004">
      <c r="A229" s="8">
        <f t="shared" si="11"/>
        <v>44427</v>
      </c>
      <c r="I229" s="9">
        <f t="shared" si="10"/>
        <v>492</v>
      </c>
    </row>
    <row r="230" spans="1:9" x14ac:dyDescent="0.55000000000000004">
      <c r="A230" s="8">
        <f t="shared" si="11"/>
        <v>44428</v>
      </c>
      <c r="I230" s="9">
        <f t="shared" si="10"/>
        <v>495</v>
      </c>
    </row>
    <row r="231" spans="1:9" x14ac:dyDescent="0.55000000000000004">
      <c r="A231" s="8">
        <f t="shared" si="11"/>
        <v>44429</v>
      </c>
      <c r="I231" s="9">
        <f t="shared" si="10"/>
        <v>498</v>
      </c>
    </row>
    <row r="232" spans="1:9" x14ac:dyDescent="0.55000000000000004">
      <c r="A232" s="8">
        <f t="shared" si="11"/>
        <v>44430</v>
      </c>
      <c r="I232" s="9">
        <f t="shared" si="10"/>
        <v>501</v>
      </c>
    </row>
    <row r="233" spans="1:9" x14ac:dyDescent="0.55000000000000004">
      <c r="A233" s="8">
        <f t="shared" si="11"/>
        <v>44431</v>
      </c>
      <c r="I233" s="9">
        <f t="shared" si="10"/>
        <v>504</v>
      </c>
    </row>
    <row r="234" spans="1:9" x14ac:dyDescent="0.55000000000000004">
      <c r="A234" s="8">
        <f t="shared" si="11"/>
        <v>44432</v>
      </c>
      <c r="I234" s="9">
        <f t="shared" si="10"/>
        <v>507</v>
      </c>
    </row>
    <row r="235" spans="1:9" x14ac:dyDescent="0.55000000000000004">
      <c r="A235" s="8">
        <f t="shared" si="11"/>
        <v>44433</v>
      </c>
      <c r="I235" s="9">
        <f t="shared" si="10"/>
        <v>510</v>
      </c>
    </row>
    <row r="236" spans="1:9" x14ac:dyDescent="0.55000000000000004">
      <c r="A236" s="8">
        <f t="shared" si="11"/>
        <v>44434</v>
      </c>
      <c r="I236" s="9">
        <f t="shared" si="10"/>
        <v>513</v>
      </c>
    </row>
    <row r="237" spans="1:9" x14ac:dyDescent="0.55000000000000004">
      <c r="A237" s="8">
        <f t="shared" si="11"/>
        <v>44435</v>
      </c>
      <c r="I237" s="9">
        <f t="shared" si="10"/>
        <v>516</v>
      </c>
    </row>
    <row r="238" spans="1:9" x14ac:dyDescent="0.55000000000000004">
      <c r="A238" s="8">
        <f t="shared" si="11"/>
        <v>44436</v>
      </c>
      <c r="I238" s="9">
        <f t="shared" si="10"/>
        <v>519</v>
      </c>
    </row>
    <row r="239" spans="1:9" x14ac:dyDescent="0.55000000000000004">
      <c r="A239" s="8">
        <f t="shared" si="11"/>
        <v>44437</v>
      </c>
      <c r="I239" s="9">
        <f t="shared" si="10"/>
        <v>522</v>
      </c>
    </row>
    <row r="240" spans="1:9" x14ac:dyDescent="0.55000000000000004">
      <c r="A240" s="8">
        <f t="shared" si="11"/>
        <v>44438</v>
      </c>
      <c r="I240" s="9">
        <f t="shared" si="10"/>
        <v>525</v>
      </c>
    </row>
    <row r="241" spans="1:9" x14ac:dyDescent="0.55000000000000004">
      <c r="A241" s="8">
        <f t="shared" si="11"/>
        <v>44439</v>
      </c>
      <c r="I241" s="9">
        <f t="shared" si="10"/>
        <v>528</v>
      </c>
    </row>
    <row r="242" spans="1:9" x14ac:dyDescent="0.55000000000000004">
      <c r="A242" s="8">
        <f t="shared" si="11"/>
        <v>44440</v>
      </c>
      <c r="I242" s="9">
        <f t="shared" si="10"/>
        <v>531</v>
      </c>
    </row>
    <row r="243" spans="1:9" x14ac:dyDescent="0.55000000000000004">
      <c r="A243" s="8">
        <f t="shared" si="11"/>
        <v>44441</v>
      </c>
      <c r="I243" s="9">
        <f t="shared" si="10"/>
        <v>534</v>
      </c>
    </row>
    <row r="244" spans="1:9" x14ac:dyDescent="0.55000000000000004">
      <c r="A244" s="8">
        <f t="shared" si="11"/>
        <v>44442</v>
      </c>
      <c r="I244" s="9">
        <f t="shared" si="10"/>
        <v>537</v>
      </c>
    </row>
    <row r="245" spans="1:9" x14ac:dyDescent="0.55000000000000004">
      <c r="A245" s="8">
        <f t="shared" si="11"/>
        <v>44443</v>
      </c>
      <c r="I245" s="9">
        <f t="shared" si="10"/>
        <v>540</v>
      </c>
    </row>
    <row r="246" spans="1:9" x14ac:dyDescent="0.55000000000000004">
      <c r="A246" s="8">
        <f t="shared" si="11"/>
        <v>44444</v>
      </c>
      <c r="I246" s="9">
        <f t="shared" si="10"/>
        <v>543</v>
      </c>
    </row>
    <row r="247" spans="1:9" x14ac:dyDescent="0.55000000000000004">
      <c r="A247" s="8">
        <f t="shared" si="11"/>
        <v>44445</v>
      </c>
      <c r="I247" s="9">
        <f t="shared" si="10"/>
        <v>546</v>
      </c>
    </row>
    <row r="248" spans="1:9" x14ac:dyDescent="0.55000000000000004">
      <c r="A248" s="8">
        <f t="shared" si="11"/>
        <v>44446</v>
      </c>
      <c r="I248" s="9">
        <f t="shared" si="10"/>
        <v>549</v>
      </c>
    </row>
    <row r="249" spans="1:9" x14ac:dyDescent="0.55000000000000004">
      <c r="A249" s="8">
        <f t="shared" si="11"/>
        <v>44447</v>
      </c>
      <c r="I249" s="9">
        <f t="shared" si="10"/>
        <v>552</v>
      </c>
    </row>
    <row r="250" spans="1:9" x14ac:dyDescent="0.55000000000000004">
      <c r="A250" s="8">
        <f t="shared" si="11"/>
        <v>44448</v>
      </c>
      <c r="I250" s="9">
        <f t="shared" si="10"/>
        <v>555</v>
      </c>
    </row>
    <row r="251" spans="1:9" x14ac:dyDescent="0.55000000000000004">
      <c r="A251" s="8">
        <f t="shared" si="11"/>
        <v>44449</v>
      </c>
      <c r="I251" s="9">
        <f t="shared" si="10"/>
        <v>558</v>
      </c>
    </row>
    <row r="252" spans="1:9" x14ac:dyDescent="0.55000000000000004">
      <c r="A252" s="8">
        <f t="shared" si="11"/>
        <v>44450</v>
      </c>
      <c r="I252" s="9">
        <f t="shared" si="10"/>
        <v>561</v>
      </c>
    </row>
    <row r="253" spans="1:9" x14ac:dyDescent="0.55000000000000004">
      <c r="A253" s="8">
        <f t="shared" si="11"/>
        <v>44451</v>
      </c>
      <c r="I253" s="9">
        <f t="shared" si="10"/>
        <v>564</v>
      </c>
    </row>
    <row r="254" spans="1:9" x14ac:dyDescent="0.55000000000000004">
      <c r="A254" s="8">
        <f t="shared" si="11"/>
        <v>44452</v>
      </c>
      <c r="I254" s="9">
        <f t="shared" si="10"/>
        <v>567</v>
      </c>
    </row>
    <row r="255" spans="1:9" x14ac:dyDescent="0.55000000000000004">
      <c r="A255" s="8">
        <f t="shared" si="11"/>
        <v>44453</v>
      </c>
      <c r="I255" s="9">
        <f t="shared" si="10"/>
        <v>570</v>
      </c>
    </row>
    <row r="256" spans="1:9" x14ac:dyDescent="0.55000000000000004">
      <c r="A256" s="8">
        <f t="shared" si="11"/>
        <v>44454</v>
      </c>
      <c r="I256" s="9">
        <f t="shared" si="10"/>
        <v>573</v>
      </c>
    </row>
    <row r="257" spans="1:9" x14ac:dyDescent="0.55000000000000004">
      <c r="A257" s="8">
        <f t="shared" si="11"/>
        <v>44455</v>
      </c>
      <c r="I257" s="9">
        <f t="shared" si="10"/>
        <v>576</v>
      </c>
    </row>
    <row r="258" spans="1:9" x14ac:dyDescent="0.55000000000000004">
      <c r="A258" s="8">
        <f t="shared" si="11"/>
        <v>44456</v>
      </c>
      <c r="I258" s="9">
        <f t="shared" si="10"/>
        <v>579</v>
      </c>
    </row>
    <row r="259" spans="1:9" x14ac:dyDescent="0.55000000000000004">
      <c r="A259" s="8">
        <f t="shared" si="11"/>
        <v>44457</v>
      </c>
      <c r="I259" s="9">
        <f t="shared" ref="I259:I322" si="12">( A259-DATE(2021,3,8) )*3</f>
        <v>582</v>
      </c>
    </row>
    <row r="260" spans="1:9" x14ac:dyDescent="0.55000000000000004">
      <c r="A260" s="8">
        <f t="shared" si="11"/>
        <v>44458</v>
      </c>
      <c r="I260" s="9">
        <f t="shared" si="12"/>
        <v>585</v>
      </c>
    </row>
    <row r="261" spans="1:9" x14ac:dyDescent="0.55000000000000004">
      <c r="A261" s="8">
        <f t="shared" ref="A261:A324" si="13">A260+1</f>
        <v>44459</v>
      </c>
      <c r="I261" s="9">
        <f t="shared" si="12"/>
        <v>588</v>
      </c>
    </row>
    <row r="262" spans="1:9" x14ac:dyDescent="0.55000000000000004">
      <c r="A262" s="8">
        <f t="shared" si="13"/>
        <v>44460</v>
      </c>
      <c r="I262" s="9">
        <f t="shared" si="12"/>
        <v>591</v>
      </c>
    </row>
    <row r="263" spans="1:9" x14ac:dyDescent="0.55000000000000004">
      <c r="A263" s="8">
        <f t="shared" si="13"/>
        <v>44461</v>
      </c>
      <c r="I263" s="9">
        <f t="shared" si="12"/>
        <v>594</v>
      </c>
    </row>
    <row r="264" spans="1:9" x14ac:dyDescent="0.55000000000000004">
      <c r="A264" s="8">
        <f t="shared" si="13"/>
        <v>44462</v>
      </c>
      <c r="I264" s="9">
        <f t="shared" si="12"/>
        <v>597</v>
      </c>
    </row>
    <row r="265" spans="1:9" x14ac:dyDescent="0.55000000000000004">
      <c r="A265" s="8">
        <f t="shared" si="13"/>
        <v>44463</v>
      </c>
      <c r="I265" s="9">
        <f t="shared" si="12"/>
        <v>600</v>
      </c>
    </row>
    <row r="266" spans="1:9" x14ac:dyDescent="0.55000000000000004">
      <c r="A266" s="8">
        <f t="shared" si="13"/>
        <v>44464</v>
      </c>
      <c r="I266" s="9">
        <f t="shared" si="12"/>
        <v>603</v>
      </c>
    </row>
    <row r="267" spans="1:9" x14ac:dyDescent="0.55000000000000004">
      <c r="A267" s="8">
        <f t="shared" si="13"/>
        <v>44465</v>
      </c>
      <c r="I267" s="9">
        <f t="shared" si="12"/>
        <v>606</v>
      </c>
    </row>
    <row r="268" spans="1:9" x14ac:dyDescent="0.55000000000000004">
      <c r="A268" s="8">
        <f t="shared" si="13"/>
        <v>44466</v>
      </c>
      <c r="I268" s="9">
        <f t="shared" si="12"/>
        <v>609</v>
      </c>
    </row>
    <row r="269" spans="1:9" x14ac:dyDescent="0.55000000000000004">
      <c r="A269" s="8">
        <f t="shared" si="13"/>
        <v>44467</v>
      </c>
      <c r="I269" s="9">
        <f t="shared" si="12"/>
        <v>612</v>
      </c>
    </row>
    <row r="270" spans="1:9" x14ac:dyDescent="0.55000000000000004">
      <c r="A270" s="8">
        <f t="shared" si="13"/>
        <v>44468</v>
      </c>
      <c r="I270" s="9">
        <f t="shared" si="12"/>
        <v>615</v>
      </c>
    </row>
    <row r="271" spans="1:9" x14ac:dyDescent="0.55000000000000004">
      <c r="A271" s="8">
        <f t="shared" si="13"/>
        <v>44469</v>
      </c>
      <c r="I271" s="9">
        <f t="shared" si="12"/>
        <v>618</v>
      </c>
    </row>
    <row r="272" spans="1:9" x14ac:dyDescent="0.55000000000000004">
      <c r="A272" s="8">
        <f t="shared" si="13"/>
        <v>44470</v>
      </c>
      <c r="I272" s="9">
        <f t="shared" si="12"/>
        <v>621</v>
      </c>
    </row>
    <row r="273" spans="1:9" x14ac:dyDescent="0.55000000000000004">
      <c r="A273" s="8">
        <f t="shared" si="13"/>
        <v>44471</v>
      </c>
      <c r="I273" s="9">
        <f t="shared" si="12"/>
        <v>624</v>
      </c>
    </row>
    <row r="274" spans="1:9" x14ac:dyDescent="0.55000000000000004">
      <c r="A274" s="8">
        <f t="shared" si="13"/>
        <v>44472</v>
      </c>
      <c r="I274" s="9">
        <f t="shared" si="12"/>
        <v>627</v>
      </c>
    </row>
    <row r="275" spans="1:9" x14ac:dyDescent="0.55000000000000004">
      <c r="A275" s="8">
        <f t="shared" si="13"/>
        <v>44473</v>
      </c>
      <c r="I275" s="9">
        <f t="shared" si="12"/>
        <v>630</v>
      </c>
    </row>
    <row r="276" spans="1:9" x14ac:dyDescent="0.55000000000000004">
      <c r="A276" s="8">
        <f t="shared" si="13"/>
        <v>44474</v>
      </c>
      <c r="I276" s="9">
        <f t="shared" si="12"/>
        <v>633</v>
      </c>
    </row>
    <row r="277" spans="1:9" x14ac:dyDescent="0.55000000000000004">
      <c r="A277" s="8">
        <f t="shared" si="13"/>
        <v>44475</v>
      </c>
      <c r="I277" s="9">
        <f t="shared" si="12"/>
        <v>636</v>
      </c>
    </row>
    <row r="278" spans="1:9" x14ac:dyDescent="0.55000000000000004">
      <c r="A278" s="8">
        <f t="shared" si="13"/>
        <v>44476</v>
      </c>
      <c r="I278" s="9">
        <f t="shared" si="12"/>
        <v>639</v>
      </c>
    </row>
    <row r="279" spans="1:9" x14ac:dyDescent="0.55000000000000004">
      <c r="A279" s="8">
        <f t="shared" si="13"/>
        <v>44477</v>
      </c>
      <c r="I279" s="9">
        <f t="shared" si="12"/>
        <v>642</v>
      </c>
    </row>
    <row r="280" spans="1:9" x14ac:dyDescent="0.55000000000000004">
      <c r="A280" s="8">
        <f t="shared" si="13"/>
        <v>44478</v>
      </c>
      <c r="I280" s="9">
        <f t="shared" si="12"/>
        <v>645</v>
      </c>
    </row>
    <row r="281" spans="1:9" x14ac:dyDescent="0.55000000000000004">
      <c r="A281" s="8">
        <f t="shared" si="13"/>
        <v>44479</v>
      </c>
      <c r="I281" s="9">
        <f t="shared" si="12"/>
        <v>648</v>
      </c>
    </row>
    <row r="282" spans="1:9" x14ac:dyDescent="0.55000000000000004">
      <c r="A282" s="8">
        <f t="shared" si="13"/>
        <v>44480</v>
      </c>
      <c r="I282" s="9">
        <f t="shared" si="12"/>
        <v>651</v>
      </c>
    </row>
    <row r="283" spans="1:9" x14ac:dyDescent="0.55000000000000004">
      <c r="A283" s="8">
        <f t="shared" si="13"/>
        <v>44481</v>
      </c>
      <c r="I283" s="9">
        <f t="shared" si="12"/>
        <v>654</v>
      </c>
    </row>
    <row r="284" spans="1:9" x14ac:dyDescent="0.55000000000000004">
      <c r="A284" s="8">
        <f t="shared" si="13"/>
        <v>44482</v>
      </c>
      <c r="I284" s="9">
        <f t="shared" si="12"/>
        <v>657</v>
      </c>
    </row>
    <row r="285" spans="1:9" x14ac:dyDescent="0.55000000000000004">
      <c r="A285" s="8">
        <f t="shared" si="13"/>
        <v>44483</v>
      </c>
      <c r="I285" s="9">
        <f t="shared" si="12"/>
        <v>660</v>
      </c>
    </row>
    <row r="286" spans="1:9" x14ac:dyDescent="0.55000000000000004">
      <c r="A286" s="8">
        <f t="shared" si="13"/>
        <v>44484</v>
      </c>
      <c r="I286" s="9">
        <f t="shared" si="12"/>
        <v>663</v>
      </c>
    </row>
    <row r="287" spans="1:9" x14ac:dyDescent="0.55000000000000004">
      <c r="A287" s="8">
        <f t="shared" si="13"/>
        <v>44485</v>
      </c>
      <c r="I287" s="9">
        <f t="shared" si="12"/>
        <v>666</v>
      </c>
    </row>
    <row r="288" spans="1:9" x14ac:dyDescent="0.55000000000000004">
      <c r="A288" s="8">
        <f t="shared" si="13"/>
        <v>44486</v>
      </c>
      <c r="I288" s="9">
        <f t="shared" si="12"/>
        <v>669</v>
      </c>
    </row>
    <row r="289" spans="1:9" x14ac:dyDescent="0.55000000000000004">
      <c r="A289" s="8">
        <f t="shared" si="13"/>
        <v>44487</v>
      </c>
      <c r="I289" s="9">
        <f t="shared" si="12"/>
        <v>672</v>
      </c>
    </row>
    <row r="290" spans="1:9" x14ac:dyDescent="0.55000000000000004">
      <c r="A290" s="8">
        <f t="shared" si="13"/>
        <v>44488</v>
      </c>
      <c r="I290" s="9">
        <f t="shared" si="12"/>
        <v>675</v>
      </c>
    </row>
    <row r="291" spans="1:9" x14ac:dyDescent="0.55000000000000004">
      <c r="A291" s="8">
        <f t="shared" si="13"/>
        <v>44489</v>
      </c>
      <c r="I291" s="9">
        <f t="shared" si="12"/>
        <v>678</v>
      </c>
    </row>
    <row r="292" spans="1:9" x14ac:dyDescent="0.55000000000000004">
      <c r="A292" s="8">
        <f t="shared" si="13"/>
        <v>44490</v>
      </c>
      <c r="I292" s="9">
        <f t="shared" si="12"/>
        <v>681</v>
      </c>
    </row>
    <row r="293" spans="1:9" x14ac:dyDescent="0.55000000000000004">
      <c r="A293" s="8">
        <f t="shared" si="13"/>
        <v>44491</v>
      </c>
      <c r="I293" s="9">
        <f t="shared" si="12"/>
        <v>684</v>
      </c>
    </row>
    <row r="294" spans="1:9" x14ac:dyDescent="0.55000000000000004">
      <c r="A294" s="8">
        <f t="shared" si="13"/>
        <v>44492</v>
      </c>
      <c r="I294" s="9">
        <f t="shared" si="12"/>
        <v>687</v>
      </c>
    </row>
    <row r="295" spans="1:9" x14ac:dyDescent="0.55000000000000004">
      <c r="A295" s="8">
        <f t="shared" si="13"/>
        <v>44493</v>
      </c>
      <c r="I295" s="9">
        <f t="shared" si="12"/>
        <v>690</v>
      </c>
    </row>
    <row r="296" spans="1:9" x14ac:dyDescent="0.55000000000000004">
      <c r="A296" s="8">
        <f t="shared" si="13"/>
        <v>44494</v>
      </c>
      <c r="I296" s="9">
        <f t="shared" si="12"/>
        <v>693</v>
      </c>
    </row>
    <row r="297" spans="1:9" x14ac:dyDescent="0.55000000000000004">
      <c r="A297" s="8">
        <f t="shared" si="13"/>
        <v>44495</v>
      </c>
      <c r="I297" s="9">
        <f t="shared" si="12"/>
        <v>696</v>
      </c>
    </row>
    <row r="298" spans="1:9" x14ac:dyDescent="0.55000000000000004">
      <c r="A298" s="8">
        <f t="shared" si="13"/>
        <v>44496</v>
      </c>
      <c r="I298" s="9">
        <f t="shared" si="12"/>
        <v>699</v>
      </c>
    </row>
    <row r="299" spans="1:9" x14ac:dyDescent="0.55000000000000004">
      <c r="A299" s="8">
        <f t="shared" si="13"/>
        <v>44497</v>
      </c>
      <c r="I299" s="9">
        <f t="shared" si="12"/>
        <v>702</v>
      </c>
    </row>
    <row r="300" spans="1:9" x14ac:dyDescent="0.55000000000000004">
      <c r="A300" s="8">
        <f t="shared" si="13"/>
        <v>44498</v>
      </c>
      <c r="I300" s="9">
        <f t="shared" si="12"/>
        <v>705</v>
      </c>
    </row>
    <row r="301" spans="1:9" x14ac:dyDescent="0.55000000000000004">
      <c r="A301" s="8">
        <f t="shared" si="13"/>
        <v>44499</v>
      </c>
      <c r="I301" s="9">
        <f t="shared" si="12"/>
        <v>708</v>
      </c>
    </row>
    <row r="302" spans="1:9" x14ac:dyDescent="0.55000000000000004">
      <c r="A302" s="8">
        <f t="shared" si="13"/>
        <v>44500</v>
      </c>
      <c r="I302" s="9">
        <f t="shared" si="12"/>
        <v>711</v>
      </c>
    </row>
    <row r="303" spans="1:9" x14ac:dyDescent="0.55000000000000004">
      <c r="A303" s="8">
        <f t="shared" si="13"/>
        <v>44501</v>
      </c>
      <c r="I303" s="9">
        <f t="shared" si="12"/>
        <v>714</v>
      </c>
    </row>
    <row r="304" spans="1:9" x14ac:dyDescent="0.55000000000000004">
      <c r="A304" s="8">
        <f t="shared" si="13"/>
        <v>44502</v>
      </c>
      <c r="I304" s="9">
        <f t="shared" si="12"/>
        <v>717</v>
      </c>
    </row>
    <row r="305" spans="1:9" x14ac:dyDescent="0.55000000000000004">
      <c r="A305" s="8">
        <f t="shared" si="13"/>
        <v>44503</v>
      </c>
      <c r="I305" s="9">
        <f t="shared" si="12"/>
        <v>720</v>
      </c>
    </row>
    <row r="306" spans="1:9" x14ac:dyDescent="0.55000000000000004">
      <c r="A306" s="8">
        <f t="shared" si="13"/>
        <v>44504</v>
      </c>
      <c r="I306" s="9">
        <f t="shared" si="12"/>
        <v>723</v>
      </c>
    </row>
    <row r="307" spans="1:9" x14ac:dyDescent="0.55000000000000004">
      <c r="A307" s="8">
        <f t="shared" si="13"/>
        <v>44505</v>
      </c>
      <c r="I307" s="9">
        <f t="shared" si="12"/>
        <v>726</v>
      </c>
    </row>
    <row r="308" spans="1:9" x14ac:dyDescent="0.55000000000000004">
      <c r="A308" s="8">
        <f t="shared" si="13"/>
        <v>44506</v>
      </c>
      <c r="I308" s="9">
        <f t="shared" si="12"/>
        <v>729</v>
      </c>
    </row>
    <row r="309" spans="1:9" x14ac:dyDescent="0.55000000000000004">
      <c r="A309" s="8">
        <f t="shared" si="13"/>
        <v>44507</v>
      </c>
      <c r="I309" s="9">
        <f t="shared" si="12"/>
        <v>732</v>
      </c>
    </row>
    <row r="310" spans="1:9" x14ac:dyDescent="0.55000000000000004">
      <c r="A310" s="8">
        <f t="shared" si="13"/>
        <v>44508</v>
      </c>
      <c r="I310" s="9">
        <f t="shared" si="12"/>
        <v>735</v>
      </c>
    </row>
    <row r="311" spans="1:9" x14ac:dyDescent="0.55000000000000004">
      <c r="A311" s="8">
        <f t="shared" si="13"/>
        <v>44509</v>
      </c>
      <c r="I311" s="9">
        <f t="shared" si="12"/>
        <v>738</v>
      </c>
    </row>
    <row r="312" spans="1:9" x14ac:dyDescent="0.55000000000000004">
      <c r="A312" s="8">
        <f t="shared" si="13"/>
        <v>44510</v>
      </c>
      <c r="I312" s="9">
        <f t="shared" si="12"/>
        <v>741</v>
      </c>
    </row>
    <row r="313" spans="1:9" x14ac:dyDescent="0.55000000000000004">
      <c r="A313" s="8">
        <f t="shared" si="13"/>
        <v>44511</v>
      </c>
      <c r="I313" s="9">
        <f t="shared" si="12"/>
        <v>744</v>
      </c>
    </row>
    <row r="314" spans="1:9" x14ac:dyDescent="0.55000000000000004">
      <c r="A314" s="8">
        <f t="shared" si="13"/>
        <v>44512</v>
      </c>
      <c r="I314" s="9">
        <f t="shared" si="12"/>
        <v>747</v>
      </c>
    </row>
    <row r="315" spans="1:9" x14ac:dyDescent="0.55000000000000004">
      <c r="A315" s="8">
        <f t="shared" si="13"/>
        <v>44513</v>
      </c>
      <c r="I315" s="9">
        <f t="shared" si="12"/>
        <v>750</v>
      </c>
    </row>
    <row r="316" spans="1:9" x14ac:dyDescent="0.55000000000000004">
      <c r="A316" s="8">
        <f t="shared" si="13"/>
        <v>44514</v>
      </c>
      <c r="I316" s="9">
        <f t="shared" si="12"/>
        <v>753</v>
      </c>
    </row>
    <row r="317" spans="1:9" x14ac:dyDescent="0.55000000000000004">
      <c r="A317" s="8">
        <f t="shared" si="13"/>
        <v>44515</v>
      </c>
      <c r="I317" s="9">
        <f t="shared" si="12"/>
        <v>756</v>
      </c>
    </row>
    <row r="318" spans="1:9" x14ac:dyDescent="0.55000000000000004">
      <c r="A318" s="8">
        <f t="shared" si="13"/>
        <v>44516</v>
      </c>
      <c r="I318" s="9">
        <f t="shared" si="12"/>
        <v>759</v>
      </c>
    </row>
    <row r="319" spans="1:9" x14ac:dyDescent="0.55000000000000004">
      <c r="A319" s="8">
        <f t="shared" si="13"/>
        <v>44517</v>
      </c>
      <c r="I319" s="9">
        <f t="shared" si="12"/>
        <v>762</v>
      </c>
    </row>
    <row r="320" spans="1:9" x14ac:dyDescent="0.55000000000000004">
      <c r="A320" s="8">
        <f t="shared" si="13"/>
        <v>44518</v>
      </c>
      <c r="I320" s="9">
        <f t="shared" si="12"/>
        <v>765</v>
      </c>
    </row>
    <row r="321" spans="1:9" x14ac:dyDescent="0.55000000000000004">
      <c r="A321" s="8">
        <f t="shared" si="13"/>
        <v>44519</v>
      </c>
      <c r="I321" s="9">
        <f t="shared" si="12"/>
        <v>768</v>
      </c>
    </row>
    <row r="322" spans="1:9" x14ac:dyDescent="0.55000000000000004">
      <c r="A322" s="8">
        <f t="shared" si="13"/>
        <v>44520</v>
      </c>
      <c r="I322" s="9">
        <f t="shared" si="12"/>
        <v>771</v>
      </c>
    </row>
    <row r="323" spans="1:9" x14ac:dyDescent="0.55000000000000004">
      <c r="A323" s="8">
        <f t="shared" si="13"/>
        <v>44521</v>
      </c>
      <c r="I323" s="9">
        <f t="shared" ref="I323:I332" si="14">( A323-DATE(2021,3,8) )*3</f>
        <v>774</v>
      </c>
    </row>
    <row r="324" spans="1:9" x14ac:dyDescent="0.55000000000000004">
      <c r="A324" s="8">
        <f t="shared" si="13"/>
        <v>44522</v>
      </c>
      <c r="I324" s="9">
        <f t="shared" si="14"/>
        <v>777</v>
      </c>
    </row>
    <row r="325" spans="1:9" x14ac:dyDescent="0.55000000000000004">
      <c r="A325" s="8">
        <f t="shared" ref="A325:A332" si="15">A324+1</f>
        <v>44523</v>
      </c>
      <c r="I325" s="9">
        <f t="shared" si="14"/>
        <v>780</v>
      </c>
    </row>
    <row r="326" spans="1:9" x14ac:dyDescent="0.55000000000000004">
      <c r="A326" s="8">
        <f t="shared" si="15"/>
        <v>44524</v>
      </c>
      <c r="I326" s="9">
        <f t="shared" si="14"/>
        <v>783</v>
      </c>
    </row>
    <row r="327" spans="1:9" x14ac:dyDescent="0.55000000000000004">
      <c r="A327" s="8">
        <f t="shared" si="15"/>
        <v>44525</v>
      </c>
      <c r="I327" s="9">
        <f t="shared" si="14"/>
        <v>786</v>
      </c>
    </row>
    <row r="328" spans="1:9" x14ac:dyDescent="0.55000000000000004">
      <c r="A328" s="8">
        <f t="shared" si="15"/>
        <v>44526</v>
      </c>
      <c r="I328" s="9">
        <f t="shared" si="14"/>
        <v>789</v>
      </c>
    </row>
    <row r="329" spans="1:9" x14ac:dyDescent="0.55000000000000004">
      <c r="A329" s="8">
        <f t="shared" si="15"/>
        <v>44527</v>
      </c>
      <c r="I329" s="9">
        <f t="shared" si="14"/>
        <v>792</v>
      </c>
    </row>
    <row r="330" spans="1:9" x14ac:dyDescent="0.55000000000000004">
      <c r="A330" s="8">
        <f t="shared" si="15"/>
        <v>44528</v>
      </c>
      <c r="I330" s="9">
        <f t="shared" si="14"/>
        <v>795</v>
      </c>
    </row>
    <row r="331" spans="1:9" x14ac:dyDescent="0.55000000000000004">
      <c r="A331" s="8">
        <f t="shared" si="15"/>
        <v>44529</v>
      </c>
      <c r="I331" s="9">
        <f t="shared" si="14"/>
        <v>798</v>
      </c>
    </row>
    <row r="332" spans="1:9" x14ac:dyDescent="0.55000000000000004">
      <c r="A332" s="8">
        <f t="shared" si="15"/>
        <v>44530</v>
      </c>
      <c r="I332" s="9">
        <f t="shared" si="14"/>
        <v>801</v>
      </c>
    </row>
    <row r="333" spans="1:9" x14ac:dyDescent="0.55000000000000004">
      <c r="A333" s="8"/>
    </row>
    <row r="334" spans="1:9" x14ac:dyDescent="0.55000000000000004">
      <c r="A334" s="8"/>
    </row>
    <row r="335" spans="1:9" x14ac:dyDescent="0.55000000000000004">
      <c r="A335" s="8"/>
    </row>
    <row r="336" spans="1:9" x14ac:dyDescent="0.55000000000000004">
      <c r="A336" s="8"/>
    </row>
    <row r="337" spans="1:1" x14ac:dyDescent="0.55000000000000004">
      <c r="A337" s="8"/>
    </row>
    <row r="338" spans="1:1" x14ac:dyDescent="0.55000000000000004">
      <c r="A338" s="8"/>
    </row>
    <row r="339" spans="1:1" x14ac:dyDescent="0.55000000000000004">
      <c r="A339" s="8"/>
    </row>
    <row r="340" spans="1:1" x14ac:dyDescent="0.55000000000000004">
      <c r="A340" s="8"/>
    </row>
    <row r="341" spans="1:1" x14ac:dyDescent="0.55000000000000004">
      <c r="A341" s="8"/>
    </row>
    <row r="342" spans="1:1" x14ac:dyDescent="0.55000000000000004">
      <c r="A342" s="8"/>
    </row>
    <row r="343" spans="1:1" x14ac:dyDescent="0.55000000000000004">
      <c r="A343" s="8"/>
    </row>
    <row r="344" spans="1:1" x14ac:dyDescent="0.55000000000000004">
      <c r="A344" s="8"/>
    </row>
    <row r="345" spans="1:1" x14ac:dyDescent="0.55000000000000004">
      <c r="A345" s="8"/>
    </row>
    <row r="346" spans="1:1" x14ac:dyDescent="0.55000000000000004">
      <c r="A346" s="8"/>
    </row>
    <row r="347" spans="1:1" x14ac:dyDescent="0.55000000000000004">
      <c r="A347" s="8"/>
    </row>
    <row r="348" spans="1:1" x14ac:dyDescent="0.55000000000000004">
      <c r="A348" s="8"/>
    </row>
    <row r="349" spans="1:1" x14ac:dyDescent="0.55000000000000004">
      <c r="A349" s="8"/>
    </row>
    <row r="350" spans="1:1" x14ac:dyDescent="0.55000000000000004">
      <c r="A350" s="8"/>
    </row>
    <row r="351" spans="1:1" x14ac:dyDescent="0.55000000000000004">
      <c r="A351" s="8"/>
    </row>
    <row r="352" spans="1:1" x14ac:dyDescent="0.55000000000000004">
      <c r="A352" s="8"/>
    </row>
    <row r="353" spans="1:1" x14ac:dyDescent="0.55000000000000004">
      <c r="A353" s="8"/>
    </row>
    <row r="354" spans="1:1" x14ac:dyDescent="0.55000000000000004">
      <c r="A354" s="8"/>
    </row>
    <row r="355" spans="1:1" x14ac:dyDescent="0.55000000000000004">
      <c r="A355" s="8"/>
    </row>
    <row r="356" spans="1:1" x14ac:dyDescent="0.55000000000000004">
      <c r="A356" s="8"/>
    </row>
    <row r="357" spans="1:1" x14ac:dyDescent="0.55000000000000004">
      <c r="A357" s="8"/>
    </row>
    <row r="358" spans="1:1" x14ac:dyDescent="0.55000000000000004">
      <c r="A358" s="8"/>
    </row>
    <row r="359" spans="1:1" x14ac:dyDescent="0.55000000000000004">
      <c r="A359" s="8"/>
    </row>
    <row r="360" spans="1:1" x14ac:dyDescent="0.55000000000000004">
      <c r="A360" s="8"/>
    </row>
    <row r="361" spans="1:1" x14ac:dyDescent="0.55000000000000004">
      <c r="A361" s="8"/>
    </row>
    <row r="362" spans="1:1" x14ac:dyDescent="0.55000000000000004">
      <c r="A362" s="8"/>
    </row>
    <row r="363" spans="1:1" x14ac:dyDescent="0.55000000000000004">
      <c r="A363" s="8"/>
    </row>
    <row r="364" spans="1:1" x14ac:dyDescent="0.55000000000000004">
      <c r="A364" s="8"/>
    </row>
    <row r="365" spans="1:1" x14ac:dyDescent="0.55000000000000004">
      <c r="A365" s="8"/>
    </row>
    <row r="366" spans="1:1" x14ac:dyDescent="0.55000000000000004">
      <c r="A366" s="8"/>
    </row>
    <row r="367" spans="1:1" x14ac:dyDescent="0.55000000000000004">
      <c r="A367" s="8"/>
    </row>
    <row r="368" spans="1:1" x14ac:dyDescent="0.55000000000000004">
      <c r="A368" s="8"/>
    </row>
    <row r="369" spans="1:1" x14ac:dyDescent="0.55000000000000004">
      <c r="A369" s="8"/>
    </row>
    <row r="370" spans="1:1" x14ac:dyDescent="0.55000000000000004">
      <c r="A370" s="8"/>
    </row>
    <row r="371" spans="1:1" x14ac:dyDescent="0.55000000000000004">
      <c r="A371" s="8"/>
    </row>
    <row r="372" spans="1:1" x14ac:dyDescent="0.55000000000000004">
      <c r="A372" s="8"/>
    </row>
    <row r="373" spans="1:1" x14ac:dyDescent="0.55000000000000004">
      <c r="A373" s="8"/>
    </row>
    <row r="374" spans="1:1" x14ac:dyDescent="0.55000000000000004">
      <c r="A374" s="8"/>
    </row>
    <row r="375" spans="1:1" x14ac:dyDescent="0.55000000000000004">
      <c r="A375" s="8"/>
    </row>
    <row r="376" spans="1:1" x14ac:dyDescent="0.55000000000000004">
      <c r="A376" s="8"/>
    </row>
    <row r="377" spans="1:1" x14ac:dyDescent="0.55000000000000004">
      <c r="A377" s="8"/>
    </row>
    <row r="378" spans="1:1" x14ac:dyDescent="0.55000000000000004">
      <c r="A378" s="8"/>
    </row>
    <row r="379" spans="1:1" x14ac:dyDescent="0.55000000000000004">
      <c r="A379" s="8"/>
    </row>
    <row r="380" spans="1:1" x14ac:dyDescent="0.55000000000000004">
      <c r="A380" s="8"/>
    </row>
    <row r="381" spans="1:1" x14ac:dyDescent="0.55000000000000004">
      <c r="A381" s="8"/>
    </row>
    <row r="382" spans="1:1" x14ac:dyDescent="0.55000000000000004">
      <c r="A382" s="8"/>
    </row>
    <row r="383" spans="1:1" x14ac:dyDescent="0.55000000000000004">
      <c r="A383" s="8"/>
    </row>
    <row r="384" spans="1:1" x14ac:dyDescent="0.55000000000000004">
      <c r="A384" s="8"/>
    </row>
    <row r="385" spans="1:1" x14ac:dyDescent="0.55000000000000004">
      <c r="A385" s="8"/>
    </row>
    <row r="386" spans="1:1" x14ac:dyDescent="0.55000000000000004">
      <c r="A386" s="8"/>
    </row>
    <row r="387" spans="1:1" x14ac:dyDescent="0.55000000000000004">
      <c r="A387" s="8"/>
    </row>
    <row r="388" spans="1:1" x14ac:dyDescent="0.55000000000000004">
      <c r="A388" s="8"/>
    </row>
    <row r="389" spans="1:1" x14ac:dyDescent="0.55000000000000004">
      <c r="A389" s="8"/>
    </row>
    <row r="390" spans="1:1" x14ac:dyDescent="0.55000000000000004">
      <c r="A390" s="8"/>
    </row>
    <row r="391" spans="1:1" x14ac:dyDescent="0.55000000000000004">
      <c r="A391" s="8"/>
    </row>
    <row r="392" spans="1:1" x14ac:dyDescent="0.55000000000000004">
      <c r="A392" s="8"/>
    </row>
    <row r="393" spans="1:1" x14ac:dyDescent="0.55000000000000004">
      <c r="A393" s="8"/>
    </row>
    <row r="394" spans="1:1" x14ac:dyDescent="0.55000000000000004">
      <c r="A394" s="8"/>
    </row>
    <row r="395" spans="1:1" x14ac:dyDescent="0.55000000000000004">
      <c r="A395" s="8"/>
    </row>
    <row r="396" spans="1:1" x14ac:dyDescent="0.55000000000000004">
      <c r="A396" s="8"/>
    </row>
    <row r="397" spans="1:1" x14ac:dyDescent="0.55000000000000004">
      <c r="A397" s="8"/>
    </row>
    <row r="398" spans="1:1" x14ac:dyDescent="0.55000000000000004">
      <c r="A398" s="8"/>
    </row>
    <row r="399" spans="1:1" x14ac:dyDescent="0.55000000000000004">
      <c r="A399" s="8"/>
    </row>
    <row r="400" spans="1:1" x14ac:dyDescent="0.55000000000000004">
      <c r="A400" s="8"/>
    </row>
    <row r="401" spans="1:1" x14ac:dyDescent="0.55000000000000004">
      <c r="A401" s="8"/>
    </row>
    <row r="402" spans="1:1" x14ac:dyDescent="0.55000000000000004">
      <c r="A402" s="8"/>
    </row>
    <row r="403" spans="1:1" x14ac:dyDescent="0.55000000000000004">
      <c r="A403" s="8"/>
    </row>
    <row r="404" spans="1:1" x14ac:dyDescent="0.55000000000000004">
      <c r="A404" s="8"/>
    </row>
    <row r="405" spans="1:1" x14ac:dyDescent="0.55000000000000004">
      <c r="A405" s="8"/>
    </row>
    <row r="406" spans="1:1" x14ac:dyDescent="0.55000000000000004">
      <c r="A406" s="8"/>
    </row>
    <row r="407" spans="1:1" x14ac:dyDescent="0.55000000000000004">
      <c r="A407" s="8"/>
    </row>
    <row r="408" spans="1:1" x14ac:dyDescent="0.55000000000000004">
      <c r="A408" s="8"/>
    </row>
    <row r="409" spans="1:1" x14ac:dyDescent="0.55000000000000004">
      <c r="A409" s="8"/>
    </row>
    <row r="410" spans="1:1" x14ac:dyDescent="0.55000000000000004">
      <c r="A410" s="8"/>
    </row>
    <row r="411" spans="1:1" x14ac:dyDescent="0.55000000000000004">
      <c r="A411" s="8"/>
    </row>
    <row r="412" spans="1:1" x14ac:dyDescent="0.55000000000000004">
      <c r="A412" s="8"/>
    </row>
    <row r="413" spans="1:1" x14ac:dyDescent="0.55000000000000004">
      <c r="A413" s="8"/>
    </row>
    <row r="414" spans="1:1" x14ac:dyDescent="0.55000000000000004">
      <c r="A414" s="8"/>
    </row>
    <row r="415" spans="1:1" x14ac:dyDescent="0.55000000000000004">
      <c r="A415" s="8"/>
    </row>
    <row r="416" spans="1:1" x14ac:dyDescent="0.55000000000000004">
      <c r="A416" s="8"/>
    </row>
    <row r="417" spans="1:1" x14ac:dyDescent="0.55000000000000004">
      <c r="A417" s="8"/>
    </row>
    <row r="418" spans="1:1" x14ac:dyDescent="0.55000000000000004">
      <c r="A418" s="8"/>
    </row>
    <row r="419" spans="1:1" x14ac:dyDescent="0.55000000000000004">
      <c r="A419" s="8"/>
    </row>
    <row r="420" spans="1:1" x14ac:dyDescent="0.55000000000000004">
      <c r="A420" s="8"/>
    </row>
    <row r="421" spans="1:1" x14ac:dyDescent="0.55000000000000004">
      <c r="A421" s="8"/>
    </row>
    <row r="422" spans="1:1" x14ac:dyDescent="0.55000000000000004">
      <c r="A422" s="8"/>
    </row>
    <row r="423" spans="1:1" x14ac:dyDescent="0.55000000000000004">
      <c r="A423" s="8"/>
    </row>
    <row r="424" spans="1:1" x14ac:dyDescent="0.55000000000000004">
      <c r="A424" s="8"/>
    </row>
    <row r="425" spans="1:1" x14ac:dyDescent="0.55000000000000004">
      <c r="A425" s="8"/>
    </row>
    <row r="426" spans="1:1" x14ac:dyDescent="0.55000000000000004">
      <c r="A426" s="8"/>
    </row>
    <row r="427" spans="1:1" x14ac:dyDescent="0.55000000000000004">
      <c r="A427" s="8"/>
    </row>
    <row r="428" spans="1:1" x14ac:dyDescent="0.55000000000000004">
      <c r="A428" s="8"/>
    </row>
    <row r="429" spans="1:1" x14ac:dyDescent="0.55000000000000004">
      <c r="A429" s="8"/>
    </row>
    <row r="430" spans="1:1" x14ac:dyDescent="0.55000000000000004">
      <c r="A430" s="8"/>
    </row>
    <row r="431" spans="1:1" x14ac:dyDescent="0.55000000000000004">
      <c r="A431" s="8"/>
    </row>
    <row r="432" spans="1:1" x14ac:dyDescent="0.55000000000000004">
      <c r="A432" s="8"/>
    </row>
    <row r="433" spans="1:1" x14ac:dyDescent="0.55000000000000004">
      <c r="A433" s="8"/>
    </row>
    <row r="434" spans="1:1" x14ac:dyDescent="0.55000000000000004">
      <c r="A434" s="8"/>
    </row>
    <row r="435" spans="1:1" x14ac:dyDescent="0.55000000000000004">
      <c r="A435" s="8"/>
    </row>
    <row r="436" spans="1:1" x14ac:dyDescent="0.55000000000000004">
      <c r="A436" s="8"/>
    </row>
    <row r="437" spans="1:1" x14ac:dyDescent="0.55000000000000004">
      <c r="A437" s="8"/>
    </row>
    <row r="438" spans="1:1" x14ac:dyDescent="0.55000000000000004">
      <c r="A438" s="8"/>
    </row>
    <row r="439" spans="1:1" x14ac:dyDescent="0.55000000000000004">
      <c r="A439" s="8"/>
    </row>
    <row r="440" spans="1:1" x14ac:dyDescent="0.55000000000000004">
      <c r="A440" s="8"/>
    </row>
    <row r="441" spans="1:1" x14ac:dyDescent="0.55000000000000004">
      <c r="A441" s="8"/>
    </row>
    <row r="442" spans="1:1" x14ac:dyDescent="0.55000000000000004">
      <c r="A442" s="8"/>
    </row>
    <row r="443" spans="1:1" x14ac:dyDescent="0.55000000000000004">
      <c r="A443" s="8"/>
    </row>
    <row r="444" spans="1:1" x14ac:dyDescent="0.55000000000000004">
      <c r="A444" s="8"/>
    </row>
    <row r="445" spans="1:1" x14ac:dyDescent="0.55000000000000004">
      <c r="A445" s="8"/>
    </row>
    <row r="446" spans="1:1" x14ac:dyDescent="0.55000000000000004">
      <c r="A446" s="8"/>
    </row>
    <row r="447" spans="1:1" x14ac:dyDescent="0.55000000000000004">
      <c r="A447" s="8"/>
    </row>
    <row r="448" spans="1:1" x14ac:dyDescent="0.55000000000000004">
      <c r="A448" s="8"/>
    </row>
    <row r="449" spans="1:1" x14ac:dyDescent="0.55000000000000004">
      <c r="A449" s="8"/>
    </row>
    <row r="450" spans="1:1" x14ac:dyDescent="0.55000000000000004">
      <c r="A450" s="8"/>
    </row>
    <row r="451" spans="1:1" x14ac:dyDescent="0.55000000000000004">
      <c r="A451" s="8"/>
    </row>
    <row r="452" spans="1:1" x14ac:dyDescent="0.55000000000000004">
      <c r="A452" s="8"/>
    </row>
    <row r="453" spans="1:1" x14ac:dyDescent="0.55000000000000004">
      <c r="A453" s="8"/>
    </row>
    <row r="454" spans="1:1" x14ac:dyDescent="0.55000000000000004">
      <c r="A454" s="8"/>
    </row>
    <row r="455" spans="1:1" x14ac:dyDescent="0.55000000000000004">
      <c r="A455" s="8"/>
    </row>
    <row r="456" spans="1:1" x14ac:dyDescent="0.55000000000000004">
      <c r="A456" s="8"/>
    </row>
    <row r="457" spans="1:1" x14ac:dyDescent="0.55000000000000004">
      <c r="A457" s="8"/>
    </row>
    <row r="458" spans="1:1" x14ac:dyDescent="0.55000000000000004">
      <c r="A458" s="8"/>
    </row>
    <row r="459" spans="1:1" x14ac:dyDescent="0.55000000000000004">
      <c r="A459" s="8"/>
    </row>
    <row r="460" spans="1:1" x14ac:dyDescent="0.55000000000000004">
      <c r="A460" s="8"/>
    </row>
    <row r="461" spans="1:1" x14ac:dyDescent="0.55000000000000004">
      <c r="A461" s="8"/>
    </row>
    <row r="462" spans="1:1" x14ac:dyDescent="0.55000000000000004">
      <c r="A462" s="8"/>
    </row>
    <row r="463" spans="1:1" x14ac:dyDescent="0.55000000000000004">
      <c r="A463" s="8"/>
    </row>
    <row r="464" spans="1:1" x14ac:dyDescent="0.55000000000000004">
      <c r="A464" s="8"/>
    </row>
    <row r="465" spans="1:1" x14ac:dyDescent="0.55000000000000004">
      <c r="A465" s="8"/>
    </row>
    <row r="466" spans="1:1" x14ac:dyDescent="0.55000000000000004">
      <c r="A466" s="8"/>
    </row>
    <row r="467" spans="1:1" x14ac:dyDescent="0.55000000000000004">
      <c r="A467" s="8"/>
    </row>
    <row r="468" spans="1:1" x14ac:dyDescent="0.55000000000000004">
      <c r="A468" s="8"/>
    </row>
    <row r="469" spans="1:1" x14ac:dyDescent="0.55000000000000004">
      <c r="A469" s="8"/>
    </row>
    <row r="470" spans="1:1" x14ac:dyDescent="0.55000000000000004">
      <c r="A470" s="8"/>
    </row>
    <row r="471" spans="1:1" x14ac:dyDescent="0.55000000000000004">
      <c r="A471" s="8"/>
    </row>
    <row r="472" spans="1:1" x14ac:dyDescent="0.55000000000000004">
      <c r="A472" s="8"/>
    </row>
    <row r="473" spans="1:1" x14ac:dyDescent="0.55000000000000004">
      <c r="A473" s="8"/>
    </row>
    <row r="474" spans="1:1" x14ac:dyDescent="0.55000000000000004">
      <c r="A474" s="8"/>
    </row>
    <row r="475" spans="1:1" x14ac:dyDescent="0.55000000000000004">
      <c r="A475" s="8"/>
    </row>
    <row r="476" spans="1:1" x14ac:dyDescent="0.55000000000000004">
      <c r="A476" s="8"/>
    </row>
    <row r="477" spans="1:1" x14ac:dyDescent="0.55000000000000004">
      <c r="A477" s="8"/>
    </row>
    <row r="478" spans="1:1" x14ac:dyDescent="0.55000000000000004">
      <c r="A478" s="8"/>
    </row>
    <row r="479" spans="1:1" x14ac:dyDescent="0.55000000000000004">
      <c r="A479" s="8"/>
    </row>
    <row r="480" spans="1:1" x14ac:dyDescent="0.55000000000000004">
      <c r="A480" s="8"/>
    </row>
    <row r="481" spans="1:1" x14ac:dyDescent="0.55000000000000004">
      <c r="A481" s="8"/>
    </row>
    <row r="482" spans="1:1" x14ac:dyDescent="0.55000000000000004">
      <c r="A482" s="8"/>
    </row>
    <row r="483" spans="1:1" x14ac:dyDescent="0.55000000000000004">
      <c r="A483" s="8"/>
    </row>
    <row r="484" spans="1:1" x14ac:dyDescent="0.55000000000000004">
      <c r="A484" s="8"/>
    </row>
    <row r="485" spans="1:1" x14ac:dyDescent="0.55000000000000004">
      <c r="A485" s="8"/>
    </row>
    <row r="486" spans="1:1" x14ac:dyDescent="0.55000000000000004">
      <c r="A486" s="8"/>
    </row>
    <row r="487" spans="1:1" x14ac:dyDescent="0.55000000000000004">
      <c r="A487" s="8"/>
    </row>
    <row r="488" spans="1:1" x14ac:dyDescent="0.55000000000000004">
      <c r="A488" s="8"/>
    </row>
    <row r="489" spans="1:1" x14ac:dyDescent="0.55000000000000004">
      <c r="A489" s="8"/>
    </row>
    <row r="490" spans="1:1" x14ac:dyDescent="0.55000000000000004">
      <c r="A490" s="8"/>
    </row>
    <row r="491" spans="1:1" x14ac:dyDescent="0.55000000000000004">
      <c r="A491" s="8"/>
    </row>
    <row r="492" spans="1:1" x14ac:dyDescent="0.55000000000000004">
      <c r="A492" s="8"/>
    </row>
    <row r="493" spans="1:1" x14ac:dyDescent="0.55000000000000004">
      <c r="A493" s="8"/>
    </row>
    <row r="494" spans="1:1" x14ac:dyDescent="0.55000000000000004">
      <c r="A494" s="8"/>
    </row>
    <row r="495" spans="1:1" x14ac:dyDescent="0.55000000000000004">
      <c r="A495" s="8"/>
    </row>
    <row r="496" spans="1:1" x14ac:dyDescent="0.55000000000000004">
      <c r="A496" s="8"/>
    </row>
    <row r="497" spans="1:1" x14ac:dyDescent="0.55000000000000004">
      <c r="A497" s="8"/>
    </row>
    <row r="498" spans="1:1" x14ac:dyDescent="0.55000000000000004">
      <c r="A498" s="8"/>
    </row>
    <row r="499" spans="1:1" x14ac:dyDescent="0.55000000000000004">
      <c r="A499" s="8"/>
    </row>
    <row r="500" spans="1:1" x14ac:dyDescent="0.55000000000000004">
      <c r="A500" s="8"/>
    </row>
    <row r="501" spans="1:1" x14ac:dyDescent="0.55000000000000004">
      <c r="A501" s="8"/>
    </row>
    <row r="502" spans="1:1" x14ac:dyDescent="0.55000000000000004">
      <c r="A502" s="8"/>
    </row>
    <row r="503" spans="1:1" x14ac:dyDescent="0.55000000000000004">
      <c r="A503" s="8"/>
    </row>
    <row r="504" spans="1:1" x14ac:dyDescent="0.55000000000000004">
      <c r="A504" s="8"/>
    </row>
    <row r="505" spans="1:1" x14ac:dyDescent="0.55000000000000004">
      <c r="A505" s="8"/>
    </row>
    <row r="506" spans="1:1" x14ac:dyDescent="0.55000000000000004">
      <c r="A506" s="8"/>
    </row>
    <row r="507" spans="1:1" x14ac:dyDescent="0.55000000000000004">
      <c r="A507" s="8"/>
    </row>
    <row r="508" spans="1:1" x14ac:dyDescent="0.55000000000000004">
      <c r="A508" s="8"/>
    </row>
    <row r="509" spans="1:1" x14ac:dyDescent="0.55000000000000004">
      <c r="A509" s="8"/>
    </row>
    <row r="510" spans="1:1" x14ac:dyDescent="0.55000000000000004">
      <c r="A510" s="8"/>
    </row>
    <row r="511" spans="1:1" x14ac:dyDescent="0.55000000000000004">
      <c r="A511" s="8"/>
    </row>
    <row r="512" spans="1:1" x14ac:dyDescent="0.55000000000000004">
      <c r="A512" s="8"/>
    </row>
    <row r="513" spans="1:1" x14ac:dyDescent="0.55000000000000004">
      <c r="A513" s="8"/>
    </row>
    <row r="514" spans="1:1" x14ac:dyDescent="0.55000000000000004">
      <c r="A514" s="8"/>
    </row>
    <row r="515" spans="1:1" x14ac:dyDescent="0.55000000000000004">
      <c r="A515" s="8"/>
    </row>
    <row r="516" spans="1:1" x14ac:dyDescent="0.55000000000000004">
      <c r="A516" s="8"/>
    </row>
    <row r="517" spans="1:1" x14ac:dyDescent="0.55000000000000004">
      <c r="A517" s="8"/>
    </row>
    <row r="518" spans="1:1" x14ac:dyDescent="0.55000000000000004">
      <c r="A518" s="8"/>
    </row>
    <row r="519" spans="1:1" x14ac:dyDescent="0.55000000000000004">
      <c r="A519" s="8"/>
    </row>
    <row r="520" spans="1:1" x14ac:dyDescent="0.55000000000000004">
      <c r="A520" s="8"/>
    </row>
    <row r="521" spans="1:1" x14ac:dyDescent="0.55000000000000004">
      <c r="A521" s="8"/>
    </row>
    <row r="522" spans="1:1" x14ac:dyDescent="0.55000000000000004">
      <c r="A522" s="8"/>
    </row>
    <row r="523" spans="1:1" x14ac:dyDescent="0.55000000000000004">
      <c r="A523" s="8"/>
    </row>
    <row r="524" spans="1:1" x14ac:dyDescent="0.55000000000000004">
      <c r="A524" s="8"/>
    </row>
    <row r="525" spans="1:1" x14ac:dyDescent="0.55000000000000004">
      <c r="A525" s="8"/>
    </row>
    <row r="526" spans="1:1" x14ac:dyDescent="0.55000000000000004">
      <c r="A526" s="8"/>
    </row>
    <row r="527" spans="1:1" x14ac:dyDescent="0.55000000000000004">
      <c r="A527" s="8"/>
    </row>
    <row r="528" spans="1:1" x14ac:dyDescent="0.55000000000000004">
      <c r="A528" s="8"/>
    </row>
    <row r="529" spans="1:1" x14ac:dyDescent="0.55000000000000004">
      <c r="A529" s="8"/>
    </row>
    <row r="530" spans="1:1" x14ac:dyDescent="0.55000000000000004">
      <c r="A530" s="8"/>
    </row>
    <row r="531" spans="1:1" x14ac:dyDescent="0.55000000000000004">
      <c r="A531" s="8"/>
    </row>
    <row r="532" spans="1:1" x14ac:dyDescent="0.55000000000000004">
      <c r="A532" s="8"/>
    </row>
    <row r="533" spans="1:1" x14ac:dyDescent="0.55000000000000004">
      <c r="A533" s="8"/>
    </row>
    <row r="534" spans="1:1" x14ac:dyDescent="0.55000000000000004">
      <c r="A534" s="8"/>
    </row>
    <row r="535" spans="1:1" x14ac:dyDescent="0.55000000000000004">
      <c r="A535" s="8"/>
    </row>
    <row r="536" spans="1:1" x14ac:dyDescent="0.55000000000000004">
      <c r="A536" s="8"/>
    </row>
    <row r="537" spans="1:1" x14ac:dyDescent="0.55000000000000004">
      <c r="A537" s="8"/>
    </row>
    <row r="538" spans="1:1" x14ac:dyDescent="0.55000000000000004">
      <c r="A538" s="8"/>
    </row>
    <row r="539" spans="1:1" x14ac:dyDescent="0.55000000000000004">
      <c r="A539" s="8"/>
    </row>
    <row r="540" spans="1:1" x14ac:dyDescent="0.55000000000000004">
      <c r="A540" s="8"/>
    </row>
    <row r="541" spans="1:1" x14ac:dyDescent="0.55000000000000004">
      <c r="A541" s="8"/>
    </row>
    <row r="542" spans="1:1" x14ac:dyDescent="0.55000000000000004">
      <c r="A542" s="8"/>
    </row>
    <row r="543" spans="1:1" x14ac:dyDescent="0.55000000000000004">
      <c r="A543" s="8"/>
    </row>
    <row r="544" spans="1:1" x14ac:dyDescent="0.55000000000000004">
      <c r="A544" s="8"/>
    </row>
    <row r="545" spans="1:1" x14ac:dyDescent="0.55000000000000004">
      <c r="A545" s="8"/>
    </row>
    <row r="546" spans="1:1" x14ac:dyDescent="0.55000000000000004">
      <c r="A546" s="8"/>
    </row>
    <row r="547" spans="1:1" x14ac:dyDescent="0.55000000000000004">
      <c r="A547" s="8"/>
    </row>
    <row r="548" spans="1:1" x14ac:dyDescent="0.55000000000000004">
      <c r="A548" s="8"/>
    </row>
    <row r="549" spans="1:1" x14ac:dyDescent="0.55000000000000004">
      <c r="A549" s="8"/>
    </row>
    <row r="550" spans="1:1" x14ac:dyDescent="0.55000000000000004">
      <c r="A550" s="8"/>
    </row>
    <row r="551" spans="1:1" x14ac:dyDescent="0.55000000000000004">
      <c r="A551" s="8"/>
    </row>
    <row r="552" spans="1:1" x14ac:dyDescent="0.55000000000000004">
      <c r="A552" s="8"/>
    </row>
    <row r="553" spans="1:1" x14ac:dyDescent="0.55000000000000004">
      <c r="A553" s="8"/>
    </row>
    <row r="554" spans="1:1" x14ac:dyDescent="0.55000000000000004">
      <c r="A554" s="8"/>
    </row>
    <row r="555" spans="1:1" x14ac:dyDescent="0.55000000000000004">
      <c r="A555" s="8"/>
    </row>
    <row r="556" spans="1:1" x14ac:dyDescent="0.55000000000000004">
      <c r="A556" s="8"/>
    </row>
    <row r="557" spans="1:1" x14ac:dyDescent="0.55000000000000004">
      <c r="A557" s="8"/>
    </row>
    <row r="558" spans="1:1" x14ac:dyDescent="0.55000000000000004">
      <c r="A558" s="8"/>
    </row>
    <row r="559" spans="1:1" x14ac:dyDescent="0.55000000000000004">
      <c r="A559" s="8"/>
    </row>
    <row r="560" spans="1:1" x14ac:dyDescent="0.55000000000000004">
      <c r="A560" s="8"/>
    </row>
    <row r="561" spans="1:1" x14ac:dyDescent="0.55000000000000004">
      <c r="A561" s="8"/>
    </row>
    <row r="562" spans="1:1" x14ac:dyDescent="0.55000000000000004">
      <c r="A562" s="8"/>
    </row>
    <row r="563" spans="1:1" x14ac:dyDescent="0.55000000000000004">
      <c r="A563" s="8"/>
    </row>
    <row r="564" spans="1:1" x14ac:dyDescent="0.55000000000000004">
      <c r="A564" s="8"/>
    </row>
    <row r="565" spans="1:1" x14ac:dyDescent="0.55000000000000004">
      <c r="A565" s="8"/>
    </row>
    <row r="566" spans="1:1" x14ac:dyDescent="0.55000000000000004">
      <c r="A566" s="8"/>
    </row>
    <row r="567" spans="1:1" x14ac:dyDescent="0.55000000000000004">
      <c r="A567" s="8"/>
    </row>
    <row r="568" spans="1:1" x14ac:dyDescent="0.55000000000000004">
      <c r="A568" s="8"/>
    </row>
    <row r="569" spans="1:1" x14ac:dyDescent="0.55000000000000004">
      <c r="A569" s="8"/>
    </row>
    <row r="570" spans="1:1" x14ac:dyDescent="0.55000000000000004">
      <c r="A570" s="8"/>
    </row>
    <row r="571" spans="1:1" x14ac:dyDescent="0.55000000000000004">
      <c r="A571" s="8"/>
    </row>
    <row r="572" spans="1:1" x14ac:dyDescent="0.55000000000000004">
      <c r="A572" s="8"/>
    </row>
    <row r="573" spans="1:1" x14ac:dyDescent="0.55000000000000004">
      <c r="A573" s="8"/>
    </row>
    <row r="574" spans="1:1" x14ac:dyDescent="0.55000000000000004">
      <c r="A574" s="8"/>
    </row>
    <row r="575" spans="1:1" x14ac:dyDescent="0.55000000000000004">
      <c r="A575" s="8"/>
    </row>
    <row r="576" spans="1:1" x14ac:dyDescent="0.55000000000000004">
      <c r="A576" s="8"/>
    </row>
    <row r="577" spans="1:1" x14ac:dyDescent="0.55000000000000004">
      <c r="A577" s="8"/>
    </row>
    <row r="578" spans="1:1" x14ac:dyDescent="0.55000000000000004">
      <c r="A578" s="8"/>
    </row>
    <row r="579" spans="1:1" x14ac:dyDescent="0.55000000000000004">
      <c r="A579" s="8"/>
    </row>
    <row r="580" spans="1:1" x14ac:dyDescent="0.55000000000000004">
      <c r="A580" s="8"/>
    </row>
    <row r="581" spans="1:1" x14ac:dyDescent="0.55000000000000004">
      <c r="A581" s="8"/>
    </row>
    <row r="582" spans="1:1" x14ac:dyDescent="0.55000000000000004">
      <c r="A582" s="8"/>
    </row>
    <row r="583" spans="1:1" x14ac:dyDescent="0.55000000000000004">
      <c r="A583" s="8"/>
    </row>
    <row r="584" spans="1:1" x14ac:dyDescent="0.55000000000000004">
      <c r="A584" s="8"/>
    </row>
    <row r="585" spans="1:1" x14ac:dyDescent="0.55000000000000004">
      <c r="A585" s="8"/>
    </row>
    <row r="586" spans="1:1" x14ac:dyDescent="0.55000000000000004">
      <c r="A586" s="8"/>
    </row>
    <row r="587" spans="1:1" x14ac:dyDescent="0.55000000000000004">
      <c r="A587" s="8"/>
    </row>
    <row r="588" spans="1:1" x14ac:dyDescent="0.55000000000000004">
      <c r="A588" s="8"/>
    </row>
    <row r="589" spans="1:1" x14ac:dyDescent="0.55000000000000004">
      <c r="A589" s="8"/>
    </row>
    <row r="590" spans="1:1" x14ac:dyDescent="0.55000000000000004">
      <c r="A590" s="8"/>
    </row>
    <row r="591" spans="1:1" x14ac:dyDescent="0.55000000000000004">
      <c r="A591" s="8"/>
    </row>
    <row r="592" spans="1:1" x14ac:dyDescent="0.55000000000000004">
      <c r="A592" s="8"/>
    </row>
    <row r="593" spans="1:1" x14ac:dyDescent="0.55000000000000004">
      <c r="A593" s="8"/>
    </row>
    <row r="594" spans="1:1" x14ac:dyDescent="0.55000000000000004">
      <c r="A594" s="8"/>
    </row>
    <row r="595" spans="1:1" x14ac:dyDescent="0.55000000000000004">
      <c r="A595" s="8"/>
    </row>
    <row r="596" spans="1:1" x14ac:dyDescent="0.55000000000000004">
      <c r="A596" s="8"/>
    </row>
    <row r="597" spans="1:1" x14ac:dyDescent="0.55000000000000004">
      <c r="A597" s="8"/>
    </row>
    <row r="598" spans="1:1" x14ac:dyDescent="0.55000000000000004">
      <c r="A598" s="8"/>
    </row>
    <row r="599" spans="1:1" x14ac:dyDescent="0.55000000000000004">
      <c r="A599" s="8"/>
    </row>
    <row r="600" spans="1:1" x14ac:dyDescent="0.55000000000000004">
      <c r="A600" s="8"/>
    </row>
    <row r="601" spans="1:1" x14ac:dyDescent="0.55000000000000004">
      <c r="A601" s="8"/>
    </row>
    <row r="602" spans="1:1" x14ac:dyDescent="0.55000000000000004">
      <c r="A602" s="8"/>
    </row>
    <row r="603" spans="1:1" x14ac:dyDescent="0.55000000000000004">
      <c r="A603" s="8"/>
    </row>
    <row r="604" spans="1:1" x14ac:dyDescent="0.55000000000000004">
      <c r="A604" s="8"/>
    </row>
    <row r="605" spans="1:1" x14ac:dyDescent="0.55000000000000004">
      <c r="A605" s="8"/>
    </row>
    <row r="606" spans="1:1" x14ac:dyDescent="0.55000000000000004">
      <c r="A606" s="8"/>
    </row>
    <row r="607" spans="1:1" x14ac:dyDescent="0.55000000000000004">
      <c r="A607" s="8"/>
    </row>
    <row r="608" spans="1:1" x14ac:dyDescent="0.55000000000000004">
      <c r="A608" s="8"/>
    </row>
    <row r="609" spans="1:1" x14ac:dyDescent="0.55000000000000004">
      <c r="A609" s="8"/>
    </row>
    <row r="610" spans="1:1" x14ac:dyDescent="0.55000000000000004">
      <c r="A610" s="8"/>
    </row>
    <row r="611" spans="1:1" x14ac:dyDescent="0.55000000000000004">
      <c r="A611" s="8"/>
    </row>
    <row r="612" spans="1:1" x14ac:dyDescent="0.55000000000000004">
      <c r="A612" s="8"/>
    </row>
    <row r="613" spans="1:1" x14ac:dyDescent="0.55000000000000004">
      <c r="A613" s="8"/>
    </row>
    <row r="614" spans="1:1" x14ac:dyDescent="0.55000000000000004">
      <c r="A614" s="8"/>
    </row>
    <row r="615" spans="1:1" x14ac:dyDescent="0.55000000000000004">
      <c r="A615" s="8"/>
    </row>
    <row r="616" spans="1:1" x14ac:dyDescent="0.55000000000000004">
      <c r="A616" s="8"/>
    </row>
    <row r="617" spans="1:1" x14ac:dyDescent="0.55000000000000004">
      <c r="A617" s="8"/>
    </row>
    <row r="618" spans="1:1" x14ac:dyDescent="0.55000000000000004">
      <c r="A618" s="8"/>
    </row>
    <row r="619" spans="1:1" x14ac:dyDescent="0.55000000000000004">
      <c r="A619" s="8"/>
    </row>
    <row r="620" spans="1:1" x14ac:dyDescent="0.55000000000000004">
      <c r="A620" s="8"/>
    </row>
    <row r="621" spans="1:1" x14ac:dyDescent="0.55000000000000004">
      <c r="A621" s="8"/>
    </row>
    <row r="622" spans="1:1" x14ac:dyDescent="0.55000000000000004">
      <c r="A622" s="8"/>
    </row>
    <row r="623" spans="1:1" x14ac:dyDescent="0.55000000000000004">
      <c r="A623" s="8"/>
    </row>
    <row r="624" spans="1:1" x14ac:dyDescent="0.55000000000000004">
      <c r="A624" s="8"/>
    </row>
    <row r="625" spans="1:1" x14ac:dyDescent="0.55000000000000004">
      <c r="A625" s="8"/>
    </row>
    <row r="626" spans="1:1" x14ac:dyDescent="0.55000000000000004">
      <c r="A626" s="8"/>
    </row>
    <row r="627" spans="1:1" x14ac:dyDescent="0.55000000000000004">
      <c r="A627" s="8"/>
    </row>
    <row r="628" spans="1:1" x14ac:dyDescent="0.55000000000000004">
      <c r="A628" s="8"/>
    </row>
    <row r="629" spans="1:1" x14ac:dyDescent="0.55000000000000004">
      <c r="A629" s="8"/>
    </row>
    <row r="630" spans="1:1" x14ac:dyDescent="0.55000000000000004">
      <c r="A630" s="8"/>
    </row>
    <row r="631" spans="1:1" x14ac:dyDescent="0.55000000000000004">
      <c r="A631" s="8"/>
    </row>
    <row r="632" spans="1:1" x14ac:dyDescent="0.55000000000000004">
      <c r="A632" s="8"/>
    </row>
    <row r="633" spans="1:1" x14ac:dyDescent="0.55000000000000004">
      <c r="A633" s="8"/>
    </row>
    <row r="634" spans="1:1" x14ac:dyDescent="0.55000000000000004">
      <c r="A634" s="8"/>
    </row>
    <row r="635" spans="1:1" x14ac:dyDescent="0.55000000000000004">
      <c r="A635" s="8"/>
    </row>
    <row r="636" spans="1:1" x14ac:dyDescent="0.55000000000000004">
      <c r="A636" s="8"/>
    </row>
    <row r="637" spans="1:1" x14ac:dyDescent="0.55000000000000004">
      <c r="A637" s="8"/>
    </row>
    <row r="638" spans="1:1" x14ac:dyDescent="0.55000000000000004">
      <c r="A638" s="8"/>
    </row>
    <row r="639" spans="1:1" x14ac:dyDescent="0.55000000000000004">
      <c r="A639" s="8"/>
    </row>
    <row r="640" spans="1:1" x14ac:dyDescent="0.55000000000000004">
      <c r="A640" s="8"/>
    </row>
    <row r="641" spans="1:1" x14ac:dyDescent="0.55000000000000004">
      <c r="A641" s="8"/>
    </row>
    <row r="642" spans="1:1" x14ac:dyDescent="0.55000000000000004">
      <c r="A642" s="8"/>
    </row>
    <row r="643" spans="1:1" x14ac:dyDescent="0.55000000000000004">
      <c r="A643" s="8"/>
    </row>
    <row r="644" spans="1:1" x14ac:dyDescent="0.55000000000000004">
      <c r="A644" s="8"/>
    </row>
    <row r="645" spans="1:1" x14ac:dyDescent="0.55000000000000004">
      <c r="A645" s="8"/>
    </row>
    <row r="646" spans="1:1" x14ac:dyDescent="0.55000000000000004">
      <c r="A646" s="8"/>
    </row>
    <row r="647" spans="1:1" x14ac:dyDescent="0.55000000000000004">
      <c r="A647" s="8"/>
    </row>
    <row r="648" spans="1:1" x14ac:dyDescent="0.55000000000000004">
      <c r="A648" s="8"/>
    </row>
    <row r="649" spans="1:1" x14ac:dyDescent="0.55000000000000004">
      <c r="A649" s="8"/>
    </row>
    <row r="650" spans="1:1" x14ac:dyDescent="0.55000000000000004">
      <c r="A650" s="8"/>
    </row>
    <row r="651" spans="1:1" x14ac:dyDescent="0.55000000000000004">
      <c r="A651" s="8"/>
    </row>
    <row r="652" spans="1:1" x14ac:dyDescent="0.55000000000000004">
      <c r="A652" s="8"/>
    </row>
    <row r="653" spans="1:1" x14ac:dyDescent="0.55000000000000004">
      <c r="A653" s="8"/>
    </row>
    <row r="654" spans="1:1" x14ac:dyDescent="0.55000000000000004">
      <c r="A654" s="8"/>
    </row>
    <row r="655" spans="1:1" x14ac:dyDescent="0.55000000000000004">
      <c r="A655" s="8"/>
    </row>
    <row r="656" spans="1:1" x14ac:dyDescent="0.55000000000000004">
      <c r="A656" s="8"/>
    </row>
    <row r="657" spans="1:1" x14ac:dyDescent="0.55000000000000004">
      <c r="A657" s="8"/>
    </row>
    <row r="658" spans="1:1" x14ac:dyDescent="0.55000000000000004">
      <c r="A658" s="8"/>
    </row>
    <row r="659" spans="1:1" x14ac:dyDescent="0.55000000000000004">
      <c r="A659" s="8"/>
    </row>
    <row r="660" spans="1:1" x14ac:dyDescent="0.55000000000000004">
      <c r="A660" s="8"/>
    </row>
    <row r="661" spans="1:1" x14ac:dyDescent="0.55000000000000004">
      <c r="A661" s="8"/>
    </row>
    <row r="662" spans="1:1" x14ac:dyDescent="0.55000000000000004">
      <c r="A662" s="8"/>
    </row>
    <row r="663" spans="1:1" x14ac:dyDescent="0.55000000000000004">
      <c r="A663" s="8"/>
    </row>
    <row r="664" spans="1:1" x14ac:dyDescent="0.55000000000000004">
      <c r="A664" s="8"/>
    </row>
    <row r="665" spans="1:1" x14ac:dyDescent="0.55000000000000004">
      <c r="A665" s="8"/>
    </row>
    <row r="666" spans="1:1" x14ac:dyDescent="0.55000000000000004">
      <c r="A666" s="8"/>
    </row>
    <row r="667" spans="1:1" x14ac:dyDescent="0.55000000000000004">
      <c r="A667" s="8"/>
    </row>
    <row r="668" spans="1:1" x14ac:dyDescent="0.55000000000000004">
      <c r="A668" s="8"/>
    </row>
    <row r="669" spans="1:1" x14ac:dyDescent="0.55000000000000004">
      <c r="A669" s="8"/>
    </row>
    <row r="670" spans="1:1" x14ac:dyDescent="0.55000000000000004">
      <c r="A670" s="8"/>
    </row>
  </sheetData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F129-D323-4BFC-86AD-A78E7E16C4D7}">
  <dimension ref="A2:N61"/>
  <sheetViews>
    <sheetView topLeftCell="A15" workbookViewId="0">
      <selection activeCell="A24" sqref="A24"/>
    </sheetView>
  </sheetViews>
  <sheetFormatPr defaultRowHeight="14.4" x14ac:dyDescent="0.55000000000000004"/>
  <cols>
    <col min="1" max="1" width="50.89453125" bestFit="1" customWidth="1"/>
    <col min="12" max="12" width="22.68359375" bestFit="1" customWidth="1"/>
    <col min="13" max="13" width="12" bestFit="1" customWidth="1"/>
    <col min="14" max="14" width="16.3125" bestFit="1" customWidth="1"/>
  </cols>
  <sheetData>
    <row r="2" spans="1:3" x14ac:dyDescent="0.55000000000000004">
      <c r="A2" t="s">
        <v>308</v>
      </c>
    </row>
    <row r="4" spans="1:3" x14ac:dyDescent="0.55000000000000004">
      <c r="A4" t="s">
        <v>280</v>
      </c>
    </row>
    <row r="5" spans="1:3" x14ac:dyDescent="0.55000000000000004">
      <c r="A5" t="s">
        <v>276</v>
      </c>
    </row>
    <row r="6" spans="1:3" x14ac:dyDescent="0.55000000000000004">
      <c r="A6" t="s">
        <v>278</v>
      </c>
    </row>
    <row r="7" spans="1:3" x14ac:dyDescent="0.55000000000000004">
      <c r="A7" t="s">
        <v>277</v>
      </c>
    </row>
    <row r="8" spans="1:3" x14ac:dyDescent="0.55000000000000004">
      <c r="A8" t="s">
        <v>279</v>
      </c>
      <c r="C8">
        <f>300000*1.065</f>
        <v>319500</v>
      </c>
    </row>
    <row r="13" spans="1:3" x14ac:dyDescent="0.55000000000000004">
      <c r="A13" t="s">
        <v>281</v>
      </c>
    </row>
    <row r="14" spans="1:3" x14ac:dyDescent="0.55000000000000004">
      <c r="A14" t="s">
        <v>282</v>
      </c>
    </row>
    <row r="15" spans="1:3" x14ac:dyDescent="0.55000000000000004">
      <c r="A15" t="s">
        <v>283</v>
      </c>
    </row>
    <row r="16" spans="1:3" x14ac:dyDescent="0.55000000000000004">
      <c r="A16" t="s">
        <v>284</v>
      </c>
    </row>
    <row r="17" spans="1:14" x14ac:dyDescent="0.55000000000000004">
      <c r="A17" t="s">
        <v>285</v>
      </c>
    </row>
    <row r="18" spans="1:14" x14ac:dyDescent="0.55000000000000004">
      <c r="A18">
        <f>175000*0.18</f>
        <v>31500</v>
      </c>
    </row>
    <row r="19" spans="1:14" x14ac:dyDescent="0.55000000000000004">
      <c r="A19" t="s">
        <v>286</v>
      </c>
    </row>
    <row r="20" spans="1:14" x14ac:dyDescent="0.55000000000000004">
      <c r="A20" t="s">
        <v>287</v>
      </c>
    </row>
    <row r="22" spans="1:14" x14ac:dyDescent="0.55000000000000004">
      <c r="A22" t="s">
        <v>288</v>
      </c>
    </row>
    <row r="24" spans="1:14" x14ac:dyDescent="0.55000000000000004">
      <c r="A24" t="s">
        <v>289</v>
      </c>
      <c r="B24" t="s">
        <v>294</v>
      </c>
      <c r="C24" t="s">
        <v>295</v>
      </c>
    </row>
    <row r="25" spans="1:14" x14ac:dyDescent="0.55000000000000004">
      <c r="A25">
        <v>2608</v>
      </c>
      <c r="B25">
        <v>1602</v>
      </c>
      <c r="C25">
        <v>1053</v>
      </c>
    </row>
    <row r="26" spans="1:14" x14ac:dyDescent="0.55000000000000004">
      <c r="A26">
        <v>5623</v>
      </c>
      <c r="B26" t="s">
        <v>290</v>
      </c>
      <c r="E26" t="s">
        <v>291</v>
      </c>
      <c r="G26" t="s">
        <v>292</v>
      </c>
    </row>
    <row r="27" spans="1:14" x14ac:dyDescent="0.55000000000000004">
      <c r="A27">
        <v>4182</v>
      </c>
      <c r="B27" t="s">
        <v>293</v>
      </c>
    </row>
    <row r="28" spans="1:14" x14ac:dyDescent="0.55000000000000004">
      <c r="A28">
        <f>A26-A27</f>
        <v>1441</v>
      </c>
      <c r="L28" s="1"/>
      <c r="M28" s="1"/>
      <c r="N28" s="1"/>
    </row>
    <row r="30" spans="1:14" x14ac:dyDescent="0.55000000000000004">
      <c r="A30">
        <v>5360</v>
      </c>
      <c r="B30" t="s">
        <v>296</v>
      </c>
      <c r="C30" t="s">
        <v>297</v>
      </c>
    </row>
    <row r="32" spans="1:14" x14ac:dyDescent="0.55000000000000004">
      <c r="A32" t="s">
        <v>298</v>
      </c>
      <c r="B32" t="s">
        <v>300</v>
      </c>
      <c r="E32" t="s">
        <v>299</v>
      </c>
    </row>
    <row r="33" spans="1:2" x14ac:dyDescent="0.55000000000000004">
      <c r="B33" t="s">
        <v>301</v>
      </c>
    </row>
    <row r="34" spans="1:2" x14ac:dyDescent="0.55000000000000004">
      <c r="B34" t="s">
        <v>302</v>
      </c>
    </row>
    <row r="36" spans="1:2" x14ac:dyDescent="0.55000000000000004">
      <c r="A36" t="s">
        <v>303</v>
      </c>
    </row>
    <row r="37" spans="1:2" x14ac:dyDescent="0.55000000000000004">
      <c r="A37" t="s">
        <v>304</v>
      </c>
    </row>
    <row r="39" spans="1:2" x14ac:dyDescent="0.55000000000000004">
      <c r="A39" t="s">
        <v>305</v>
      </c>
    </row>
    <row r="41" spans="1:2" x14ac:dyDescent="0.55000000000000004">
      <c r="A41" t="s">
        <v>306</v>
      </c>
      <c r="B41" t="s">
        <v>307</v>
      </c>
    </row>
    <row r="43" spans="1:2" x14ac:dyDescent="0.55000000000000004">
      <c r="A43">
        <v>500</v>
      </c>
    </row>
    <row r="44" spans="1:2" x14ac:dyDescent="0.55000000000000004">
      <c r="A44">
        <f>A43+500+500*1.065^(1/12)</f>
        <v>1502.6308471384239</v>
      </c>
    </row>
    <row r="45" spans="1:2" x14ac:dyDescent="0.55000000000000004">
      <c r="A45">
        <f t="shared" ref="A45:A61" si="0">A44+500+500*1.065^(1/12)</f>
        <v>2505.2616942768477</v>
      </c>
    </row>
    <row r="46" spans="1:2" x14ac:dyDescent="0.55000000000000004">
      <c r="A46">
        <f t="shared" si="0"/>
        <v>3507.8925414152718</v>
      </c>
    </row>
    <row r="47" spans="1:2" x14ac:dyDescent="0.55000000000000004">
      <c r="A47">
        <f t="shared" si="0"/>
        <v>4510.5233885536954</v>
      </c>
    </row>
    <row r="48" spans="1:2" x14ac:dyDescent="0.55000000000000004">
      <c r="A48">
        <f t="shared" si="0"/>
        <v>5513.1542356921191</v>
      </c>
    </row>
    <row r="49" spans="1:1" x14ac:dyDescent="0.55000000000000004">
      <c r="A49">
        <f t="shared" si="0"/>
        <v>6515.7850828305427</v>
      </c>
    </row>
    <row r="50" spans="1:1" x14ac:dyDescent="0.55000000000000004">
      <c r="A50">
        <f t="shared" si="0"/>
        <v>7518.4159299689663</v>
      </c>
    </row>
    <row r="51" spans="1:1" x14ac:dyDescent="0.55000000000000004">
      <c r="A51">
        <f t="shared" si="0"/>
        <v>8521.0467771073909</v>
      </c>
    </row>
    <row r="52" spans="1:1" x14ac:dyDescent="0.55000000000000004">
      <c r="A52">
        <f t="shared" si="0"/>
        <v>9523.6776242458145</v>
      </c>
    </row>
    <row r="53" spans="1:1" x14ac:dyDescent="0.55000000000000004">
      <c r="A53">
        <f t="shared" si="0"/>
        <v>10526.308471384238</v>
      </c>
    </row>
    <row r="54" spans="1:1" x14ac:dyDescent="0.55000000000000004">
      <c r="A54">
        <f t="shared" si="0"/>
        <v>11528.939318522662</v>
      </c>
    </row>
    <row r="55" spans="1:1" x14ac:dyDescent="0.55000000000000004">
      <c r="A55">
        <f t="shared" si="0"/>
        <v>12531.570165661085</v>
      </c>
    </row>
    <row r="56" spans="1:1" x14ac:dyDescent="0.55000000000000004">
      <c r="A56">
        <f t="shared" si="0"/>
        <v>13534.201012799509</v>
      </c>
    </row>
    <row r="57" spans="1:1" x14ac:dyDescent="0.55000000000000004">
      <c r="A57">
        <f t="shared" si="0"/>
        <v>14536.831859937933</v>
      </c>
    </row>
    <row r="58" spans="1:1" x14ac:dyDescent="0.55000000000000004">
      <c r="A58">
        <f t="shared" si="0"/>
        <v>15539.462707076356</v>
      </c>
    </row>
    <row r="59" spans="1:1" x14ac:dyDescent="0.55000000000000004">
      <c r="A59">
        <f t="shared" si="0"/>
        <v>16542.093554214782</v>
      </c>
    </row>
    <row r="60" spans="1:1" x14ac:dyDescent="0.55000000000000004">
      <c r="A60">
        <f t="shared" si="0"/>
        <v>17544.724401353207</v>
      </c>
    </row>
    <row r="61" spans="1:1" x14ac:dyDescent="0.55000000000000004">
      <c r="A61">
        <f t="shared" si="0"/>
        <v>18547.355248491633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timeline</vt:lpstr>
      <vt:lpstr>plants</vt:lpstr>
      <vt:lpstr>adult_list</vt:lpstr>
      <vt:lpstr>confirmed_resource_list</vt:lpstr>
      <vt:lpstr>potential_resource_list</vt:lpstr>
      <vt:lpstr>xhosa_vocab_list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Bolton</dc:creator>
  <cp:lastModifiedBy>Joseph Bolton</cp:lastModifiedBy>
  <dcterms:created xsi:type="dcterms:W3CDTF">2021-02-21T08:17:24Z</dcterms:created>
  <dcterms:modified xsi:type="dcterms:W3CDTF">2021-07-07T10:05:20Z</dcterms:modified>
</cp:coreProperties>
</file>